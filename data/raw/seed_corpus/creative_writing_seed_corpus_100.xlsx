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753f3093f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_100" sheetId="1" r:id="Rce6fadca0927425d"/>
    <x:sheet xmlns:r="http://schemas.openxmlformats.org/officeDocument/2006/relationships" name="Dashboard" sheetId="2" r:id="R1eba43308f96426c"/>
    <x:sheet xmlns:r="http://schemas.openxmlformats.org/officeDocument/2006/relationships" name="Codebook" sheetId="3" r:id="Rd45afd219803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top"/>
    </x:xf>
    <x:xf numFmtId="0" fontId="3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left" vertical="top"/>
    </x:xf>
    <x:xf numFmtId="0" fontId="3" fillId="0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a6ac00dd949b2" /><Relationship Type="http://schemas.openxmlformats.org/officeDocument/2006/relationships/theme" Target="/xl/theme/theme1.xml" Id="R74f8773817f84576" /><Relationship Type="http://schemas.openxmlformats.org/officeDocument/2006/relationships/sharedStrings" Target="/xl/sharedStrings.xml" Id="R5493a0301fcc4fa0" /><Relationship Type="http://schemas.openxmlformats.org/officeDocument/2006/relationships/worksheet" Target="/xl/worksheets/sheet1.xml" Id="Rce6fadca0927425d" /><Relationship Type="http://schemas.openxmlformats.org/officeDocument/2006/relationships/worksheet" Target="/xl/worksheets/sheet2.xml" Id="R1eba43308f96426c" /><Relationship Type="http://schemas.openxmlformats.org/officeDocument/2006/relationships/worksheet" Target="/xl/worksheets/sheet3.xml" Id="Rd45afd21980340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5c97deb7cd4f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POV relevance by corpus language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High</c:v>
          </c:tx>
          <c:cat>
            <c:strRef>
              <c:f>'Dashboard'!$D$4:$D$5</c:f>
              <c:strCache>
                <c:ptCount val="0"/>
              </c:strCache>
            </c:strRef>
          </c:cat>
          <c:val>
            <c:numRef>
              <c:f>'Dashboard'!$E$4:$E$5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Medium</c:v>
          </c:tx>
          <c:cat>
            <c:strRef>
              <c:f>'Dashboard'!$D$4:$D$5</c:f>
              <c:strCache>
                <c:ptCount val="0"/>
              </c:strCache>
            </c:strRef>
          </c:cat>
          <c:val>
            <c:numRef>
              <c:f>'Dashboard'!$F$4:$F$5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Low</c:v>
          </c:tx>
          <c:cat>
            <c:strRef>
              <c:f>'Dashboard'!$D$4:$D$5</c:f>
              <c:strCache>
                <c:ptCount val="0"/>
              </c:strCache>
            </c:strRef>
          </c:cat>
          <c:val>
            <c:numRef>
              <c:f>'Dashboard'!$G$4:$G$5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5c97deb7cd4f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pusTable" displayName="CorpusTable" ref="A1:AC101" headerRowCount="1" totalsRowCount="0" totalsRowShown="0">
  <x:tableColumns count="29">
    <x:tableColumn id="1" name="Corpus_ID"/>
    <x:tableColumn id="2" name="Corpus_language"/>
    <x:tableColumn id="3" name="Author_editor"/>
    <x:tableColumn id="4" name="Title"/>
    <x:tableColumn id="5" name="Original_title"/>
    <x:tableColumn id="6" name="First_year_corpus_language"/>
    <x:tableColumn id="7" name="Selected_edition_year"/>
    <x:tableColumn id="8" name="Edition_note"/>
    <x:tableColumn id="9" name="Publisher"/>
    <x:tableColumn id="10" name="ISBN_13"/>
    <x:tableColumn id="11" name="ISBN_10"/>
    <x:tableColumn id="12" name="Original_language"/>
    <x:tableColumn id="13" name="Translation_status"/>
    <x:tableColumn id="14" name="Translator"/>
    <x:tableColumn id="15" name="Book_type"/>
    <x:tableColumn id="16" name="Priority"/>
    <x:tableColumn id="17" name="POV_relevance"/>
    <x:tableColumn id="18" name="POV_notes"/>
    <x:tableColumn id="19" name="Full_text_status"/>
    <x:tableColumn id="20" name="Frankfurt_DNB_status"/>
    <x:tableColumn id="21" name="DNB_ID"/>
    <x:tableColumn id="22" name="OCLC_ID"/>
    <x:tableColumn id="23" name="Rights_TDM_preliminary"/>
    <x:tableColumn id="24" name="Bibliographic_source_URL"/>
    <x:tableColumn id="25" name="Access_source_URL"/>
    <x:tableColumn id="26" name="DNB_search_URL"/>
    <x:tableColumn id="27" name="Verification_status"/>
    <x:tableColumn id="28" name="Notes"/>
    <x:tableColumn id="29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10012147694e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c3a575df3842d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4" hidden="0" customWidth="1"/>
    <x:col min="4" max="4" width="38" hidden="0" customWidth="1"/>
    <x:col min="5" max="5" width="30" hidden="0" customWidth="1"/>
    <x:col min="6" max="6" width="12" hidden="0" customWidth="1"/>
    <x:col min="7" max="7" width="12" hidden="0" customWidth="1"/>
    <x:col min="8" max="8" width="20" hidden="0" customWidth="1"/>
    <x:col min="9" max="9" width="22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8" hidden="0" customWidth="1"/>
    <x:col min="15" max="15" width="22" hidden="0" customWidth="1"/>
    <x:col min="16" max="16" width="12" hidden="0" customWidth="1"/>
    <x:col min="17" max="17" width="12" hidden="0" customWidth="1"/>
    <x:col min="18" max="18" width="36" hidden="0" customWidth="1"/>
    <x:col min="19" max="19" width="30" hidden="0" customWidth="1"/>
    <x:col min="20" max="20" width="30" hidden="0" customWidth="1"/>
    <x:col min="21" max="21" width="14" hidden="0" customWidth="1"/>
    <x:col min="22" max="22" width="14" hidden="0" customWidth="1"/>
    <x:col min="23" max="23" width="38" hidden="0" customWidth="1"/>
    <x:col min="24" max="24" width="42" hidden="0" customWidth="1"/>
    <x:col min="25" max="25" width="42" hidden="0" customWidth="1"/>
    <x:col min="26" max="26" width="42" hidden="0" customWidth="1"/>
    <x:col min="27" max="27" width="14" hidden="0" customWidth="1"/>
    <x:col min="28" max="28" width="38" hidden="0" customWidth="1"/>
    <x:col min="29" max="29" width="24" hidden="0" customWidth="1"/>
  </x:cols>
  <x:sheetData>
    <x:row r="1" ht="42" customHeight="1">
      <x:c r="A1" s="12" t="str">
        <x:v>Corpus_ID</x:v>
      </x:c>
      <x:c r="B1" s="12" t="str">
        <x:v>Corpus_language</x:v>
      </x:c>
      <x:c r="C1" s="12" t="str">
        <x:v>Author_editor</x:v>
      </x:c>
      <x:c r="D1" s="12" t="str">
        <x:v>Title</x:v>
      </x:c>
      <x:c r="E1" s="12" t="str">
        <x:v>Original_title</x:v>
      </x:c>
      <x:c r="F1" s="12" t="str">
        <x:v>First_year_corpus_language</x:v>
      </x:c>
      <x:c r="G1" s="12" t="str">
        <x:v>Selected_edition_year</x:v>
      </x:c>
      <x:c r="H1" s="12" t="str">
        <x:v>Edition_note</x:v>
      </x:c>
      <x:c r="I1" s="12" t="str">
        <x:v>Publisher</x:v>
      </x:c>
      <x:c r="J1" s="12" t="str">
        <x:v>ISBN_13</x:v>
      </x:c>
      <x:c r="K1" s="12" t="str">
        <x:v>ISBN_10</x:v>
      </x:c>
      <x:c r="L1" s="12" t="str">
        <x:v>Original_language</x:v>
      </x:c>
      <x:c r="M1" s="12" t="str">
        <x:v>Translation_status</x:v>
      </x:c>
      <x:c r="N1" s="12" t="str">
        <x:v>Translator</x:v>
      </x:c>
      <x:c r="O1" s="12" t="str">
        <x:v>Book_type</x:v>
      </x:c>
      <x:c r="P1" s="12" t="str">
        <x:v>Priority</x:v>
      </x:c>
      <x:c r="Q1" s="12" t="str">
        <x:v>POV_relevance</x:v>
      </x:c>
      <x:c r="R1" s="12" t="str">
        <x:v>POV_notes</x:v>
      </x:c>
      <x:c r="S1" s="12" t="str">
        <x:v>Full_text_status</x:v>
      </x:c>
      <x:c r="T1" s="12" t="str">
        <x:v>Frankfurt_DNB_status</x:v>
      </x:c>
      <x:c r="U1" s="12" t="str">
        <x:v>DNB_ID</x:v>
      </x:c>
      <x:c r="V1" s="12" t="str">
        <x:v>OCLC_ID</x:v>
      </x:c>
      <x:c r="W1" s="12" t="str">
        <x:v>Rights_TDM_preliminary</x:v>
      </x:c>
      <x:c r="X1" s="12" t="str">
        <x:v>Bibliographic_source_URL</x:v>
      </x:c>
      <x:c r="Y1" s="12" t="str">
        <x:v>Access_source_URL</x:v>
      </x:c>
      <x:c r="Z1" s="12" t="str">
        <x:v>DNB_search_URL</x:v>
      </x:c>
      <x:c r="AA1" s="12" t="str">
        <x:v>Verification_status</x:v>
      </x:c>
      <x:c r="AB1" s="12" t="str">
        <x:v>Notes</x:v>
      </x:c>
      <x:c r="AC1" s="12" t="str">
        <x:v>Next_action</x:v>
      </x:c>
    </x:row>
    <x:row r="2">
      <x:c r="A2" s="16" t="str">
        <x:v>EN-001</x:v>
      </x:c>
      <x:c r="B2" s="16" t="str">
        <x:v>English</x:v>
      </x:c>
      <x:c r="C2" s="16" t="str">
        <x:v>Janet Burroway</x:v>
      </x:c>
      <x:c r="D2" s="16" t="str">
        <x:v>Writing Fiction: A Guide to Narrative Craft</x:v>
      </x:c>
      <x:c r="E2" s="16" t="str"/>
      <x:c r="F2" s="18" t="n">
        <x:v>1982</x:v>
      </x:c>
      <x:c r="G2" s="18" t="n">
        <x:v>2019</x:v>
      </x:c>
      <x:c r="H2" s="16" t="str">
        <x:v>10th ed.</x:v>
      </x:c>
      <x:c r="I2" s="16" t="str">
        <x:v>University of Chicago Press</x:v>
      </x:c>
      <x:c r="J2" s="20" t="str">
        <x:v>9780226616551</x:v>
      </x:c>
      <x:c r="K2" s="20" t="str">
        <x:v>022661655X</x:v>
      </x:c>
      <x:c r="L2" s="16" t="str">
        <x:v>English</x:v>
      </x:c>
      <x:c r="M2" s="16" t="str">
        <x:v>Original</x:v>
      </x:c>
      <x:c r="N2" s="16" t="str"/>
      <x:c r="O2" s="16" t="str">
        <x:v>General fiction craft</x:v>
      </x:c>
      <x:c r="P2" s="16" t="str">
        <x:v>Tier 1</x:v>
      </x:c>
      <x:c r="Q2" s="16" t="str">
        <x:v>High</x:v>
      </x:c>
      <x:c r="R2" s="16" t="str">
        <x:v>Dedicated point-of-view treatment; central pilot text</x:v>
      </x:c>
      <x:c r="S2" s="16" t="str">
        <x:v>Licensed/library copy likely needed; full-text availability not yet checked</x:v>
      </x:c>
      <x:c r="T2" s="16" t="str">
        <x:v>DNB/HeBIS/Frankfurt holdings not yet systematically checked</x:v>
      </x:c>
      <x:c r="U2" s="20" t="str"/>
      <x:c r="V2" s="20" t="str"/>
      <x:c r="W2" s="16" t="str">
        <x:v>Likely copyrighted; research TDM requires lawful access and applicable §60d UrhG conditions</x:v>
      </x:c>
      <x:c r="X2" s="16" t="str">
        <x:v>https://books.google.com/books/about/Writing_Fiction_Tenth_Edition.html?id=ppNyuwEACAAJ</x:v>
      </x:c>
      <x:c r="Y2" s="16" t="str"/>
      <x:c r="Z2" s="16" t="str">
        <x:v>https://portal.dnb.de/opac.htm?method=simpleSearch&amp;query=Writing+Fiction%3A+A+Guide+to+Narrative+Craft</x:v>
      </x:c>
      <x:c r="AA2" s="16" t="str">
        <x:v>Verified</x:v>
      </x:c>
      <x:c r="AB2" s="16" t="str"/>
      <x:c r="AC2" s="16" t="str">
        <x:f>IF(AA2&lt;&gt;"Verified","Verify metadata",IF(P2="Tier 1","Acquire/check full text",IF(P2="Tier 2","Check holdings / acquire if feasible","Review later")))</x:f>
        <x:v>Acquire/check full text</x:v>
      </x:c>
    </x:row>
    <x:row r="3">
      <x:c r="A3" s="16" t="str">
        <x:v>EN-002</x:v>
      </x:c>
      <x:c r="B3" s="16" t="str">
        <x:v>English</x:v>
      </x:c>
      <x:c r="C3" s="16" t="str">
        <x:v>Ursula K. Le Guin</x:v>
      </x:c>
      <x:c r="D3" s="16" t="str">
        <x:v>Steering the Craft: A Twenty-First-Century Guide to Sailing the Sea of Story</x:v>
      </x:c>
      <x:c r="E3" s="16" t="str"/>
      <x:c r="F3" s="18" t="n">
        <x:v>1998</x:v>
      </x:c>
      <x:c r="G3" s="18" t="n">
        <x:v>2015</x:v>
      </x:c>
      <x:c r="H3" s="16" t="str">
        <x:v>Revised edition</x:v>
      </x:c>
      <x:c r="I3" s="16" t="str">
        <x:v>Houghton Mifflin Harcourt</x:v>
      </x:c>
      <x:c r="J3" s="20" t="str">
        <x:v>9780544611610</x:v>
      </x:c>
      <x:c r="K3" s="20" t="str">
        <x:v>0544611616</x:v>
      </x:c>
      <x:c r="L3" s="16" t="str">
        <x:v>English</x:v>
      </x:c>
      <x:c r="M3" s="16" t="str">
        <x:v>Original</x:v>
      </x:c>
      <x:c r="N3" s="16" t="str"/>
      <x:c r="O3" s="16" t="str">
        <x:v>General fiction craft</x:v>
      </x:c>
      <x:c r="P3" s="16" t="str">
        <x:v>Tier 1</x:v>
      </x:c>
      <x:c r="Q3" s="16" t="str">
        <x:v>High</x:v>
      </x:c>
      <x:c r="R3" s="16" t="str">
        <x:v>Voice, person, viewpoint and narrative distance are central craft topics</x:v>
      </x:c>
      <x:c r="S3" s="16" t="str">
        <x:v>Licensed/library copy likely needed; full-text availability not yet checked</x:v>
      </x:c>
      <x:c r="T3" s="16" t="str">
        <x:v>DNB/HeBIS/Frankfurt holdings not yet systematically checked</x:v>
      </x:c>
      <x:c r="U3" s="20" t="str"/>
      <x:c r="V3" s="20" t="str">
        <x:v>37878636</x:v>
      </x:c>
      <x:c r="W3" s="16" t="str">
        <x:v>Likely copyrighted; research TDM requires lawful access and applicable §60d UrhG conditions</x:v>
      </x:c>
      <x:c r="X3" s="16" t="str">
        <x:v>https://books.google.com/books/about/Steering_the_Craft.html?id=nrpbCgAAQBAJ</x:v>
      </x:c>
      <x:c r="Y3" s="16" t="str"/>
      <x:c r="Z3" s="16" t="str">
        <x:v>https://portal.dnb.de/opac.htm?method=simpleSearch&amp;query=Steering+the+Craft%3A+A+Twenty-First-Century+Guide+to+Sailing+the+Sea+of+Story</x:v>
      </x:c>
      <x:c r="AA3" s="16" t="str">
        <x:v>Verified</x:v>
      </x:c>
      <x:c r="AB3" s="16" t="str"/>
      <x:c r="AC3" s="16" t="str">
        <x:f>IF(AA3&lt;&gt;"Verified","Verify metadata",IF(P3="Tier 1","Acquire/check full text",IF(P3="Tier 2","Check holdings / acquire if feasible","Review later")))</x:f>
        <x:v>Acquire/check full text</x:v>
      </x:c>
    </x:row>
    <x:row r="4">
      <x:c r="A4" s="16" t="str">
        <x:v>EN-003</x:v>
      </x:c>
      <x:c r="B4" s="16" t="str">
        <x:v>English</x:v>
      </x:c>
      <x:c r="C4" s="16" t="str">
        <x:v>John Gardner</x:v>
      </x:c>
      <x:c r="D4" s="16" t="str">
        <x:v>The Art of Fiction: Notes on Craft for Young Writers</x:v>
      </x:c>
      <x:c r="E4" s="16" t="str"/>
      <x:c r="F4" s="18" t="n">
        <x:v>1984</x:v>
      </x:c>
      <x:c r="G4" s="18" t="n">
        <x:v>1984</x:v>
      </x:c>
      <x:c r="H4" s="16" t="str">
        <x:v>First edition</x:v>
      </x:c>
      <x:c r="I4" s="16" t="str">
        <x:v>Alfred A. Knopf</x:v>
      </x:c>
      <x:c r="J4" s="20" t="str">
        <x:v>9780394504698</x:v>
      </x:c>
      <x:c r="K4" s="20" t="str">
        <x:v>0394504690</x:v>
      </x:c>
      <x:c r="L4" s="16" t="str">
        <x:v>English</x:v>
      </x:c>
      <x:c r="M4" s="16" t="str">
        <x:v>Original</x:v>
      </x:c>
      <x:c r="N4" s="16" t="str"/>
      <x:c r="O4" s="16" t="str">
        <x:v>General fiction craft</x:v>
      </x:c>
      <x:c r="P4" s="16" t="str">
        <x:v>Tier 1</x:v>
      </x:c>
      <x:c r="Q4" s="16" t="str">
        <x:v>High</x:v>
      </x:c>
      <x:c r="R4" s="16" t="str">
        <x:v>Broad narrative craft with viewpoint/psychic distance relevance</x:v>
      </x:c>
      <x:c r="S4" s="16" t="str">
        <x:v>Licensed/library copy likely needed; full-text availability not yet checked</x:v>
      </x:c>
      <x:c r="T4" s="16" t="str">
        <x:v>DNB/HeBIS/Frankfurt holdings not yet systematically checked</x:v>
      </x:c>
      <x:c r="U4" s="20" t="str"/>
      <x:c r="V4" s="20" t="str">
        <x:v>9646400</x:v>
      </x:c>
      <x:c r="W4" s="16" t="str">
        <x:v>Likely copyrighted; research TDM requires lawful access and applicable §60d UrhG conditions</x:v>
      </x:c>
      <x:c r="X4" s="16" t="str">
        <x:v>https://openlibrary.org/works/OL280272W/The_art_of_fiction</x:v>
      </x:c>
      <x:c r="Y4" s="16" t="str"/>
      <x:c r="Z4" s="16" t="str">
        <x:v>https://portal.dnb.de/opac.htm?method=simpleSearch&amp;query=The+Art+of+Fiction%3A+Notes+on+Craft+for+Young+Writers</x:v>
      </x:c>
      <x:c r="AA4" s="16" t="str">
        <x:v>Verified</x:v>
      </x:c>
      <x:c r="AB4" s="16" t="str"/>
      <x:c r="AC4" s="16" t="str">
        <x:f>IF(AA4&lt;&gt;"Verified","Verify metadata",IF(P4="Tier 1","Acquire/check full text",IF(P4="Tier 2","Check holdings / acquire if feasible","Review later")))</x:f>
        <x:v>Acquire/check full text</x:v>
      </x:c>
    </x:row>
    <x:row r="5">
      <x:c r="A5" s="16" t="str">
        <x:v>EN-004</x:v>
      </x:c>
      <x:c r="B5" s="16" t="str">
        <x:v>English</x:v>
      </x:c>
      <x:c r="C5" s="16" t="str">
        <x:v>Jerome Stern</x:v>
      </x:c>
      <x:c r="D5" s="16" t="str">
        <x:v>Making Shapely Fiction</x:v>
      </x:c>
      <x:c r="E5" s="16" t="str"/>
      <x:c r="F5" s="18" t="n">
        <x:v>1991</x:v>
      </x:c>
      <x:c r="G5" s="18" t="n">
        <x:v>2000</x:v>
      </x:c>
      <x:c r="H5" s="16" t="str">
        <x:v>Norton paperback edition</x:v>
      </x:c>
      <x:c r="I5" s="16" t="str">
        <x:v>W. W. Norton</x:v>
      </x:c>
      <x:c r="J5" s="20" t="str">
        <x:v>9780393321241</x:v>
      </x:c>
      <x:c r="K5" s="20" t="str">
        <x:v>039332124X</x:v>
      </x:c>
      <x:c r="L5" s="16" t="str">
        <x:v>English</x:v>
      </x:c>
      <x:c r="M5" s="16" t="str">
        <x:v>Original</x:v>
      </x:c>
      <x:c r="N5" s="16" t="str"/>
      <x:c r="O5" s="16" t="str">
        <x:v>General fiction craft</x:v>
      </x:c>
      <x:c r="P5" s="16" t="str">
        <x:v>Tier 1</x:v>
      </x:c>
      <x:c r="Q5" s="16" t="str">
        <x:v>High</x:v>
      </x:c>
      <x:c r="R5" s="16" t="str">
        <x:v>Narrative forms and viewpoint-related craft vocabulary</x:v>
      </x:c>
      <x:c r="S5" s="16" t="str">
        <x:v>Licensed/library copy likely needed; full-text availability not yet checked</x:v>
      </x:c>
      <x:c r="T5" s="16" t="str">
        <x:v>DNB/HeBIS/Frankfurt holdings not yet systematically checked</x:v>
      </x:c>
      <x:c r="U5" s="20" t="str"/>
      <x:c r="V5" s="20" t="str"/>
      <x:c r="W5" s="16" t="str">
        <x:v>Likely copyrighted; research TDM requires lawful access and applicable §60d UrhG conditions</x:v>
      </x:c>
      <x:c r="X5" s="16" t="str">
        <x:v>https://books.google.com/books?id=nL0EYMp4OfUC</x:v>
      </x:c>
      <x:c r="Y5" s="16" t="str"/>
      <x:c r="Z5" s="16" t="str">
        <x:v>https://portal.dnb.de/opac.htm?method=simpleSearch&amp;query=Making+Shapely+Fiction</x:v>
      </x:c>
      <x:c r="AA5" s="16" t="str">
        <x:v>Verified</x:v>
      </x:c>
      <x:c r="AB5" s="16" t="str"/>
      <x:c r="AC5" s="16" t="str">
        <x:f>IF(AA5&lt;&gt;"Verified","Verify metadata",IF(P5="Tier 1","Acquire/check full text",IF(P5="Tier 2","Check holdings / acquire if feasible","Review later")))</x:f>
        <x:v>Acquire/check full text</x:v>
      </x:c>
    </x:row>
    <x:row r="6">
      <x:c r="A6" s="16" t="str">
        <x:v>EN-005</x:v>
      </x:c>
      <x:c r="B6" s="16" t="str">
        <x:v>English</x:v>
      </x:c>
      <x:c r="C6" s="16" t="str">
        <x:v>Edith Wharton</x:v>
      </x:c>
      <x:c r="D6" s="16" t="str">
        <x:v>The Writing of Fiction</x:v>
      </x:c>
      <x:c r="E6" s="16" t="str"/>
      <x:c r="F6" s="18" t="n">
        <x:v>1925</x:v>
      </x:c>
      <x:c r="G6" s="18" t="n">
        <x:v>2014</x:v>
      </x:c>
      <x:c r="H6" s="16" t="str">
        <x:v>Modern reprint</x:v>
      </x:c>
      <x:c r="I6" s="16" t="str">
        <x:v>Simon &amp; Schuster</x:v>
      </x:c>
      <x:c r="J6" s="20" t="str">
        <x:v>9781476790565</x:v>
      </x:c>
      <x:c r="K6" s="20" t="str">
        <x:v>1476790566</x:v>
      </x:c>
      <x:c r="L6" s="16" t="str">
        <x:v>English</x:v>
      </x:c>
      <x:c r="M6" s="16" t="str">
        <x:v>Original</x:v>
      </x:c>
      <x:c r="N6" s="16" t="str"/>
      <x:c r="O6" s="16" t="str">
        <x:v>Historical fiction craft</x:v>
      </x:c>
      <x:c r="P6" s="16" t="str">
        <x:v>Tier 1</x:v>
      </x:c>
      <x:c r="Q6" s="16" t="str">
        <x:v>High</x:v>
      </x:c>
      <x:c r="R6" s="16" t="str">
        <x:v>Historically important discussion of narrative technique and perspective</x:v>
      </x:c>
      <x:c r="S6" s="16" t="str">
        <x:v>Older/public-domain original likely digitized; verify downloadable text and selected edition</x:v>
      </x:c>
      <x:c r="T6" s="16" t="str">
        <x:v>DNB/HeBIS/Frankfurt holdings not yet systematically checked</x:v>
      </x:c>
      <x:c r="U6" s="20" t="str"/>
      <x:c r="V6" s="20" t="str"/>
      <x:c r="W6" s="16" t="str">
        <x:v>Underlying older work may be public domain in some jurisdictions; verify selected edition and German/EU rights</x:v>
      </x:c>
      <x:c r="X6" s="16" t="str">
        <x:v>https://books.google.com/books/about/The_Writing_of_Fiction.html?id=a_wkAwAAQBAJ</x:v>
      </x:c>
      <x:c r="Y6" s="16" t="str">
        <x:v>https://openlibrary.org/works/OL98557W/The_writing_of_fiction</x:v>
      </x:c>
      <x:c r="Z6" s="16" t="str">
        <x:v>https://portal.dnb.de/opac.htm?method=simpleSearch&amp;query=The+Writing+of+Fiction</x:v>
      </x:c>
      <x:c r="AA6" s="16" t="str">
        <x:v>Verified</x:v>
      </x:c>
      <x:c r="AB6" s="16" t="str"/>
      <x:c r="AC6" s="16" t="str">
        <x:f>IF(AA6&lt;&gt;"Verified","Verify metadata",IF(P6="Tier 1","Acquire/check full text",IF(P6="Tier 2","Check holdings / acquire if feasible","Review later")))</x:f>
        <x:v>Acquire/check full text</x:v>
      </x:c>
    </x:row>
    <x:row r="7">
      <x:c r="A7" s="16" t="str">
        <x:v>EN-006</x:v>
      </x:c>
      <x:c r="B7" s="16" t="str">
        <x:v>English</x:v>
      </x:c>
      <x:c r="C7" s="16" t="str">
        <x:v>Madison Smartt Bell</x:v>
      </x:c>
      <x:c r="D7" s="16" t="str">
        <x:v>Narrative Design: Working with Imagination, Craft, and Form</x:v>
      </x:c>
      <x:c r="E7" s="16" t="str"/>
      <x:c r="F7" s="18" t="n">
        <x:v>2000</x:v>
      </x:c>
      <x:c r="G7" s="18" t="n">
        <x:v>2000</x:v>
      </x:c>
      <x:c r="H7" s="16" t="str">
        <x:v>First Norton edition</x:v>
      </x:c>
      <x:c r="I7" s="16" t="str">
        <x:v>W. W. Norton</x:v>
      </x:c>
      <x:c r="J7" s="20" t="str">
        <x:v>9780393320213</x:v>
      </x:c>
      <x:c r="K7" s="20" t="str">
        <x:v>0393320219</x:v>
      </x:c>
      <x:c r="L7" s="16" t="str">
        <x:v>English</x:v>
      </x:c>
      <x:c r="M7" s="16" t="str">
        <x:v>Original</x:v>
      </x:c>
      <x:c r="N7" s="16" t="str"/>
      <x:c r="O7" s="16" t="str">
        <x:v>Narrative design</x:v>
      </x:c>
      <x:c r="P7" s="16" t="str">
        <x:v>Tier 1</x:v>
      </x:c>
      <x:c r="Q7" s="16" t="str">
        <x:v>High</x:v>
      </x:c>
      <x:c r="R7" s="16" t="str">
        <x:v>Narrative structure and point-of-view choices</x:v>
      </x:c>
      <x:c r="S7" s="16" t="str">
        <x:v>Licensed/library copy likely needed; full-text availability not yet checked</x:v>
      </x:c>
      <x:c r="T7" s="16" t="str">
        <x:v>DNB/HeBIS/Frankfurt holdings not yet systematically checked</x:v>
      </x:c>
      <x:c r="U7" s="20" t="str"/>
      <x:c r="V7" s="20" t="str"/>
      <x:c r="W7" s="16" t="str">
        <x:v>Likely copyrighted; research TDM requires lawful access and applicable §60d UrhG conditions</x:v>
      </x:c>
      <x:c r="X7" s="16" t="str">
        <x:v>https://books.google.com/books/about/Narrative_Design.html?id=XSyUY-orMlQC</x:v>
      </x:c>
      <x:c r="Y7" s="16" t="str"/>
      <x:c r="Z7" s="16" t="str">
        <x:v>https://portal.dnb.de/opac.htm?method=simpleSearch&amp;query=Narrative+Design%3A+Working+with+Imagination%2C+Craft%2C+and+Form</x:v>
      </x:c>
      <x:c r="AA7" s="16" t="str">
        <x:v>Partial</x:v>
      </x:c>
      <x:c r="AB7" s="16" t="str">
        <x:v>Some catalogues may list an earlier version/publication history; selected 2000 Norton edition is the corpus anchor.</x:v>
      </x:c>
      <x:c r="AC7" s="16" t="str">
        <x:f>IF(AA7&lt;&gt;"Verified","Verify metadata",IF(P7="Tier 1","Acquire/check full text",IF(P7="Tier 2","Check holdings / acquire if feasible","Review later")))</x:f>
        <x:v>Verify metadata</x:v>
      </x:c>
    </x:row>
    <x:row r="8">
      <x:c r="A8" s="16" t="str">
        <x:v>EN-007</x:v>
      </x:c>
      <x:c r="B8" s="16" t="str">
        <x:v>English</x:v>
      </x:c>
      <x:c r="C8" s="16" t="str">
        <x:v>Andrew Cowan</x:v>
      </x:c>
      <x:c r="D8" s="16" t="str">
        <x:v>The Art of Writing Fiction</x:v>
      </x:c>
      <x:c r="E8" s="16" t="str"/>
      <x:c r="F8" s="18" t="n">
        <x:v>2011</x:v>
      </x:c>
      <x:c r="G8" s="18" t="n">
        <x:v>2013</x:v>
      </x:c>
      <x:c r="H8" s="16" t="str">
        <x:v>Routledge eBook/edition</x:v>
      </x:c>
      <x:c r="I8" s="16" t="str">
        <x:v>Routledge</x:v>
      </x:c>
      <x:c r="J8" s="20" t="str">
        <x:v>9781317861539</x:v>
      </x:c>
      <x:c r="K8" s="20" t="str"/>
      <x:c r="L8" s="16" t="str">
        <x:v>English</x:v>
      </x:c>
      <x:c r="M8" s="16" t="str">
        <x:v>Original</x:v>
      </x:c>
      <x:c r="N8" s="16" t="str"/>
      <x:c r="O8" s="16" t="str">
        <x:v>General fiction craft</x:v>
      </x:c>
      <x:c r="P8" s="16" t="str">
        <x:v>Tier 1</x:v>
      </x:c>
      <x:c r="Q8" s="16" t="str">
        <x:v>High</x:v>
      </x:c>
      <x:c r="R8" s="16" t="str">
        <x:v>Explicit coverage of point of view, voice and character</x:v>
      </x:c>
      <x:c r="S8" s="16" t="str">
        <x:v>Licensed/library copy likely needed; full-text availability not yet checked</x:v>
      </x:c>
      <x:c r="T8" s="16" t="str">
        <x:v>DNB/HeBIS/Frankfurt holdings not yet systematically checked</x:v>
      </x:c>
      <x:c r="U8" s="20" t="str"/>
      <x:c r="V8" s="20" t="str"/>
      <x:c r="W8" s="16" t="str">
        <x:v>Likely copyrighted; research TDM requires lawful access and applicable §60d UrhG conditions</x:v>
      </x:c>
      <x:c r="X8" s="16" t="str">
        <x:v>https://www.routledge.com/The-Art-of-Writing-Fiction/Cowan/p/book/9781315833323</x:v>
      </x:c>
      <x:c r="Y8" s="16" t="str"/>
      <x:c r="Z8" s="16" t="str">
        <x:v>https://portal.dnb.de/opac.htm?method=simpleSearch&amp;query=The+Art+of+Writing+Fiction</x:v>
      </x:c>
      <x:c r="AA8" s="16" t="str">
        <x:v>Verified</x:v>
      </x:c>
      <x:c r="AB8" s="16" t="str"/>
      <x:c r="AC8" s="16" t="str">
        <x:f>IF(AA8&lt;&gt;"Verified","Verify metadata",IF(P8="Tier 1","Acquire/check full text",IF(P8="Tier 2","Check holdings / acquire if feasible","Review later")))</x:f>
        <x:v>Acquire/check full text</x:v>
      </x:c>
    </x:row>
    <x:row r="9">
      <x:c r="A9" s="16" t="str">
        <x:v>EN-008</x:v>
      </x:c>
      <x:c r="B9" s="16" t="str">
        <x:v>English</x:v>
      </x:c>
      <x:c r="C9" s="16" t="str">
        <x:v>Alice LaPlante</x:v>
      </x:c>
      <x:c r="D9" s="16" t="str">
        <x:v>The Making of a Story: A Norton Guide to Creative Writing</x:v>
      </x:c>
      <x:c r="E9" s="16" t="str"/>
      <x:c r="F9" s="18" t="n">
        <x:v>2007</x:v>
      </x:c>
      <x:c r="G9" s="18" t="n">
        <x:v>2007</x:v>
      </x:c>
      <x:c r="H9" s="16" t="str">
        <x:v>First edition</x:v>
      </x:c>
      <x:c r="I9" s="16" t="str">
        <x:v>W. W. Norton</x:v>
      </x:c>
      <x:c r="J9" s="20" t="str">
        <x:v>9780393061642</x:v>
      </x:c>
      <x:c r="K9" s="20" t="str">
        <x:v>0393061649</x:v>
      </x:c>
      <x:c r="L9" s="16" t="str">
        <x:v>English</x:v>
      </x:c>
      <x:c r="M9" s="16" t="str">
        <x:v>Original</x:v>
      </x:c>
      <x:c r="N9" s="16" t="str"/>
      <x:c r="O9" s="16" t="str">
        <x:v>General creative writing</x:v>
      </x:c>
      <x:c r="P9" s="16" t="str">
        <x:v>Tier 1</x:v>
      </x:c>
      <x:c r="Q9" s="16" t="str">
        <x:v>High</x:v>
      </x:c>
      <x:c r="R9" s="16" t="str">
        <x:v>Extensive fiction craft; useful POV-positive source</x:v>
      </x:c>
      <x:c r="S9" s="16" t="str">
        <x:v>Licensed/library copy likely needed; full-text availability not yet checked</x:v>
      </x:c>
      <x:c r="T9" s="16" t="str">
        <x:v>DNB/HeBIS/Frankfurt holdings not yet systematically checked</x:v>
      </x:c>
      <x:c r="U9" s="20" t="str"/>
      <x:c r="V9" s="20" t="str"/>
      <x:c r="W9" s="16" t="str">
        <x:v>Likely copyrighted; research TDM requires lawful access and applicable §60d UrhG conditions</x:v>
      </x:c>
      <x:c r="X9" s="16" t="str">
        <x:v>https://books.google.com/books/about/The_Making_of_a_Story.html?id=AvZXHAAACAAJ</x:v>
      </x:c>
      <x:c r="Y9" s="16" t="str"/>
      <x:c r="Z9" s="16" t="str">
        <x:v>https://portal.dnb.de/opac.htm?method=simpleSearch&amp;query=The+Making+of+a+Story%3A+A+Norton+Guide+to+Creative+Writing</x:v>
      </x:c>
      <x:c r="AA9" s="16" t="str">
        <x:v>Verified</x:v>
      </x:c>
      <x:c r="AB9" s="16" t="str"/>
      <x:c r="AC9" s="16" t="str">
        <x:f>IF(AA9&lt;&gt;"Verified","Verify metadata",IF(P9="Tier 1","Acquire/check full text",IF(P9="Tier 2","Check holdings / acquire if feasible","Review later")))</x:f>
        <x:v>Acquire/check full text</x:v>
      </x:c>
    </x:row>
    <x:row r="10">
      <x:c r="A10" s="16" t="str">
        <x:v>EN-009</x:v>
      </x:c>
      <x:c r="B10" s="16" t="str">
        <x:v>English</x:v>
      </x:c>
      <x:c r="C10" s="16" t="str">
        <x:v>David Jauss</x:v>
      </x:c>
      <x:c r="D10" s="16" t="str">
        <x:v>Alone with All That Could Happen: Rethinking Conventional Wisdom about the Craft of Fiction</x:v>
      </x:c>
      <x:c r="E10" s="16" t="str"/>
      <x:c r="F10" s="18" t="n">
        <x:v>2008</x:v>
      </x:c>
      <x:c r="G10" s="18" t="n">
        <x:v>2008</x:v>
      </x:c>
      <x:c r="H10" s="16" t="str">
        <x:v>First edition</x:v>
      </x:c>
      <x:c r="I10" s="16" t="str">
        <x:v>Writer's Digest Books</x:v>
      </x:c>
      <x:c r="J10" s="20" t="str">
        <x:v>9781582975382</x:v>
      </x:c>
      <x:c r="K10" s="20" t="str">
        <x:v>1582975388</x:v>
      </x:c>
      <x:c r="L10" s="16" t="str">
        <x:v>English</x:v>
      </x:c>
      <x:c r="M10" s="16" t="str">
        <x:v>Original</x:v>
      </x:c>
      <x:c r="N10" s="16" t="str"/>
      <x:c r="O10" s="16" t="str">
        <x:v>Craft essays</x:v>
      </x:c>
      <x:c r="P10" s="16" t="str">
        <x:v>Tier 1</x:v>
      </x:c>
      <x:c r="Q10" s="16" t="str">
        <x:v>High</x:v>
      </x:c>
      <x:c r="R10" s="16" t="str">
        <x:v>Includes sustained reconsideration of narrative craft conventions</x:v>
      </x:c>
      <x:c r="S10" s="16" t="str">
        <x:v>Licensed/library copy likely needed; full-text availability not yet checked</x:v>
      </x:c>
      <x:c r="T10" s="16" t="str">
        <x:v>DNB/HeBIS/Frankfurt holdings not yet systematically checked</x:v>
      </x:c>
      <x:c r="U10" s="20" t="str"/>
      <x:c r="V10" s="20" t="str"/>
      <x:c r="W10" s="16" t="str">
        <x:v>Likely copyrighted; research TDM requires lawful access and applicable §60d UrhG conditions</x:v>
      </x:c>
      <x:c r="X10" s="16" t="str">
        <x:v>https://www.abebooks.com/9781582975382/Alone-Happen-Rethinking-Conventional-Wisdom-1582975388/plp</x:v>
      </x:c>
      <x:c r="Y10" s="16" t="str"/>
      <x:c r="Z10" s="16" t="str">
        <x:v>https://portal.dnb.de/opac.htm?method=simpleSearch&amp;query=Alone+with+All+That+Could+Happen%3A+Rethinking+Conventional+Wisdom+about+the+Craft+of+Fiction</x:v>
      </x:c>
      <x:c r="AA10" s="16" t="str">
        <x:v>Verified</x:v>
      </x:c>
      <x:c r="AB10" s="16" t="str"/>
      <x:c r="AC10" s="16" t="str">
        <x:f>IF(AA10&lt;&gt;"Verified","Verify metadata",IF(P10="Tier 1","Acquire/check full text",IF(P10="Tier 2","Check holdings / acquire if feasible","Review later")))</x:f>
        <x:v>Acquire/check full text</x:v>
      </x:c>
    </x:row>
    <x:row r="11">
      <x:c r="A11" s="16" t="str">
        <x:v>EN-010</x:v>
      </x:c>
      <x:c r="B11" s="16" t="str">
        <x:v>English</x:v>
      </x:c>
      <x:c r="C11" s="16" t="str">
        <x:v>Orson Scott Card</x:v>
      </x:c>
      <x:c r="D11" s="16" t="str">
        <x:v>Characters &amp; Viewpoint</x:v>
      </x:c>
      <x:c r="E11" s="16" t="str"/>
      <x:c r="F11" s="18" t="n">
        <x:v>1988</x:v>
      </x:c>
      <x:c r="G11" s="18" t="n">
        <x:v>2011</x:v>
      </x:c>
      <x:c r="H11" s="16" t="str">
        <x:v>Writer's Digest reissue</x:v>
      </x:c>
      <x:c r="I11" s="16" t="str">
        <x:v>Writer's Digest Books</x:v>
      </x:c>
      <x:c r="J11" s="20" t="str">
        <x:v>9781599632124</x:v>
      </x:c>
      <x:c r="K11" s="20" t="str">
        <x:v>1599632128</x:v>
      </x:c>
      <x:c r="L11" s="16" t="str">
        <x:v>English</x:v>
      </x:c>
      <x:c r="M11" s="16" t="str">
        <x:v>Original</x:v>
      </x:c>
      <x:c r="N11" s="16" t="str"/>
      <x:c r="O11" s="16" t="str">
        <x:v>POV/character craft</x:v>
      </x:c>
      <x:c r="P11" s="16" t="str">
        <x:v>Tier 1</x:v>
      </x:c>
      <x:c r="Q11" s="16" t="str">
        <x:v>High</x:v>
      </x:c>
      <x:c r="R11" s="16" t="str">
        <x:v>Explicitly devoted to character and viewpoint</x:v>
      </x:c>
      <x:c r="S11" s="16" t="str">
        <x:v>Licensed/library copy likely needed; full-text availability not yet checked</x:v>
      </x:c>
      <x:c r="T11" s="16" t="str">
        <x:v>DNB/HeBIS/Frankfurt holdings not yet systematically checked</x:v>
      </x:c>
      <x:c r="U11" s="20" t="str"/>
      <x:c r="V11" s="20" t="str"/>
      <x:c r="W11" s="16" t="str">
        <x:v>Likely copyrighted; research TDM requires lawful access and applicable §60d UrhG conditions</x:v>
      </x:c>
      <x:c r="X11" s="16" t="str">
        <x:v>https://www.penguinrandomhouse.com/books/632103/elements-of-fiction-writing---characters-and-viewpoint-by-orson-scott-card/</x:v>
      </x:c>
      <x:c r="Y11" s="16" t="str"/>
      <x:c r="Z11" s="16" t="str">
        <x:v>https://portal.dnb.de/opac.htm?method=simpleSearch&amp;query=Characters+%26+Viewpoint</x:v>
      </x:c>
      <x:c r="AA11" s="16" t="str">
        <x:v>Verified</x:v>
      </x:c>
      <x:c r="AB11" s="16" t="str"/>
      <x:c r="AC11" s="16" t="str">
        <x:f>IF(AA11&lt;&gt;"Verified","Verify metadata",IF(P11="Tier 1","Acquire/check full text",IF(P11="Tier 2","Check holdings / acquire if feasible","Review later")))</x:f>
        <x:v>Acquire/check full text</x:v>
      </x:c>
    </x:row>
    <x:row r="12">
      <x:c r="A12" s="16" t="str">
        <x:v>EN-011</x:v>
      </x:c>
      <x:c r="B12" s="16" t="str">
        <x:v>English</x:v>
      </x:c>
      <x:c r="C12" s="16" t="str">
        <x:v>Alicia Rasley</x:v>
      </x:c>
      <x:c r="D12" s="16" t="str">
        <x:v>The Power of Point of View: Make Your Story Come to Life</x:v>
      </x:c>
      <x:c r="E12" s="16" t="str"/>
      <x:c r="F12" s="18" t="n">
        <x:v>2008</x:v>
      </x:c>
      <x:c r="G12" s="18" t="n">
        <x:v>2008</x:v>
      </x:c>
      <x:c r="H12" s="16" t="str">
        <x:v>First edition</x:v>
      </x:c>
      <x:c r="I12" s="16" t="str">
        <x:v>Writer's Digest Books</x:v>
      </x:c>
      <x:c r="J12" s="20" t="str">
        <x:v>9781582975238</x:v>
      </x:c>
      <x:c r="K12" s="20" t="str">
        <x:v>158297523X</x:v>
      </x:c>
      <x:c r="L12" s="16" t="str">
        <x:v>English</x:v>
      </x:c>
      <x:c r="M12" s="16" t="str">
        <x:v>Original</x:v>
      </x:c>
      <x:c r="N12" s="16" t="str"/>
      <x:c r="O12" s="16" t="str">
        <x:v>POV craft</x:v>
      </x:c>
      <x:c r="P12" s="16" t="str">
        <x:v>Tier 1</x:v>
      </x:c>
      <x:c r="Q12" s="16" t="str">
        <x:v>High</x:v>
      </x:c>
      <x:c r="R12" s="16" t="str">
        <x:v>Dedicated point-of-view manual</x:v>
      </x:c>
      <x:c r="S12" s="16" t="str">
        <x:v>Licensed/library copy likely needed; full-text availability not yet checked</x:v>
      </x:c>
      <x:c r="T12" s="16" t="str">
        <x:v>DNB/HeBIS/Frankfurt holdings not yet systematically checked</x:v>
      </x:c>
      <x:c r="U12" s="20" t="str"/>
      <x:c r="V12" s="20" t="str"/>
      <x:c r="W12" s="16" t="str">
        <x:v>Likely copyrighted; research TDM requires lawful access and applicable §60d UrhG conditions</x:v>
      </x:c>
      <x:c r="X12" s="16" t="str">
        <x:v>https://books.google.com/books/about/The_Power_of_Point_of_View.html?id=0A83LAAACAAJ</x:v>
      </x:c>
      <x:c r="Y12" s="16" t="str"/>
      <x:c r="Z12" s="16" t="str">
        <x:v>https://portal.dnb.de/opac.htm?method=simpleSearch&amp;query=The+Power+of+Point+of+View%3A+Make+Your+Story+Come+to+Life</x:v>
      </x:c>
      <x:c r="AA12" s="16" t="str">
        <x:v>Verified</x:v>
      </x:c>
      <x:c r="AB12" s="16" t="str"/>
      <x:c r="AC12" s="16" t="str">
        <x:f>IF(AA12&lt;&gt;"Verified","Verify metadata",IF(P12="Tier 1","Acquire/check full text",IF(P12="Tier 2","Check holdings / acquire if feasible","Review later")))</x:f>
        <x:v>Acquire/check full text</x:v>
      </x:c>
    </x:row>
    <x:row r="13">
      <x:c r="A13" s="16" t="str">
        <x:v>EN-012</x:v>
      </x:c>
      <x:c r="B13" s="16" t="str">
        <x:v>English</x:v>
      </x:c>
      <x:c r="C13" s="16" t="str">
        <x:v>Rust Hills</x:v>
      </x:c>
      <x:c r="D13" s="16" t="str">
        <x:v>Writing in General and the Short Story in Particular</x:v>
      </x:c>
      <x:c r="E13" s="16" t="str"/>
      <x:c r="F13" s="18" t="n">
        <x:v>1977</x:v>
      </x:c>
      <x:c r="G13" s="18" t="n">
        <x:v>1987</x:v>
      </x:c>
      <x:c r="H13" s="16" t="str">
        <x:v>Revised edition</x:v>
      </x:c>
      <x:c r="I13" s="16" t="str">
        <x:v>Houghton Mifflin</x:v>
      </x:c>
      <x:c r="J13" s="20" t="str">
        <x:v>9780395442685</x:v>
      </x:c>
      <x:c r="K13" s="20" t="str">
        <x:v>0395442680</x:v>
      </x:c>
      <x:c r="L13" s="16" t="str">
        <x:v>English</x:v>
      </x:c>
      <x:c r="M13" s="16" t="str">
        <x:v>Original</x:v>
      </x:c>
      <x:c r="N13" s="16" t="str"/>
      <x:c r="O13" s="16" t="str">
        <x:v>Short fiction craft</x:v>
      </x:c>
      <x:c r="P13" s="16" t="str">
        <x:v>Tier 1</x:v>
      </x:c>
      <x:c r="Q13" s="16" t="str">
        <x:v>High</x:v>
      </x:c>
      <x:c r="R13" s="16" t="str">
        <x:v>Classic discussion of narrative technique; valuable historical POV vocabulary</x:v>
      </x:c>
      <x:c r="S13" s="16" t="str">
        <x:v>Licensed/library copy likely needed; full-text availability not yet checked</x:v>
      </x:c>
      <x:c r="T13" s="16" t="str">
        <x:v>DNB/HeBIS/Frankfurt holdings not yet systematically checked</x:v>
      </x:c>
      <x:c r="U13" s="20" t="str"/>
      <x:c r="V13" s="20" t="str">
        <x:v>15252557</x:v>
      </x:c>
      <x:c r="W13" s="16" t="str">
        <x:v>Likely copyrighted; research TDM requires lawful access and applicable §60d UrhG conditions</x:v>
      </x:c>
      <x:c r="X13" s="16" t="str">
        <x:v>https://openlibrary.org/books/OL4551782M/Writing_in_general_and_the_short_story_in_particular</x:v>
      </x:c>
      <x:c r="Y13" s="16" t="str"/>
      <x:c r="Z13" s="16" t="str">
        <x:v>https://portal.dnb.de/opac.htm?method=simpleSearch&amp;query=Writing+in+General+and+the+Short+Story+in+Particular</x:v>
      </x:c>
      <x:c r="AA13" s="16" t="str">
        <x:v>Verified</x:v>
      </x:c>
      <x:c r="AB13" s="16" t="str"/>
      <x:c r="AC13" s="16" t="str">
        <x:f>IF(AA13&lt;&gt;"Verified","Verify metadata",IF(P13="Tier 1","Acquire/check full text",IF(P13="Tier 2","Check holdings / acquire if feasible","Review later")))</x:f>
        <x:v>Acquire/check full text</x:v>
      </x:c>
    </x:row>
    <x:row r="14">
      <x:c r="A14" s="16" t="str">
        <x:v>EN-013</x:v>
      </x:c>
      <x:c r="B14" s="16" t="str">
        <x:v>English</x:v>
      </x:c>
      <x:c r="C14" s="16" t="str">
        <x:v>Jesse Lee Kercheval</x:v>
      </x:c>
      <x:c r="D14" s="16" t="str">
        <x:v>Building Fiction: How to Develop Plot and Structure</x:v>
      </x:c>
      <x:c r="E14" s="16" t="str"/>
      <x:c r="F14" s="18" t="n">
        <x:v>1997</x:v>
      </x:c>
      <x:c r="G14" s="18" t="n">
        <x:v>1997</x:v>
      </x:c>
      <x:c r="H14" s="16" t="str">
        <x:v>First edition</x:v>
      </x:c>
      <x:c r="I14" s="16" t="str">
        <x:v>Story Press</x:v>
      </x:c>
      <x:c r="J14" s="20" t="str">
        <x:v>9781884910289</x:v>
      </x:c>
      <x:c r="K14" s="20" t="str">
        <x:v>1884910289</x:v>
      </x:c>
      <x:c r="L14" s="16" t="str">
        <x:v>English</x:v>
      </x:c>
      <x:c r="M14" s="16" t="str">
        <x:v>Original</x:v>
      </x:c>
      <x:c r="N14" s="16" t="str"/>
      <x:c r="O14" s="16" t="str">
        <x:v>Plot/structure</x:v>
      </x:c>
      <x:c r="P14" s="16" t="str">
        <x:v>Tier 2</x:v>
      </x:c>
      <x:c r="Q14" s="16" t="str">
        <x:v>Medium</x:v>
      </x:c>
      <x:c r="R14" s="16" t="str">
        <x:v>POV likely appears in relation to scene and structure</x:v>
      </x:c>
      <x:c r="S14" s="16" t="str">
        <x:v>Licensed/library copy likely needed; full-text availability not yet checked</x:v>
      </x:c>
      <x:c r="T14" s="16" t="str">
        <x:v>DNB/HeBIS/Frankfurt holdings not yet systematically checked</x:v>
      </x:c>
      <x:c r="U14" s="20" t="str"/>
      <x:c r="V14" s="20" t="str"/>
      <x:c r="W14" s="16" t="str">
        <x:v>Likely copyrighted; research TDM requires lawful access and applicable §60d UrhG conditions</x:v>
      </x:c>
      <x:c r="X14" s="16" t="str">
        <x:v>https://books.google.com/books/about/Building_Fiction.html?id=hSo6PgAACAAJ</x:v>
      </x:c>
      <x:c r="Y14" s="16" t="str"/>
      <x:c r="Z14" s="16" t="str">
        <x:v>https://portal.dnb.de/opac.htm?method=simpleSearch&amp;query=Building+Fiction%3A+How+to+Develop+Plot+and+Structure</x:v>
      </x:c>
      <x:c r="AA14" s="16" t="str">
        <x:v>Verified</x:v>
      </x:c>
      <x:c r="AB14" s="16" t="str"/>
      <x:c r="AC14" s="16" t="str">
        <x:f>IF(AA14&lt;&gt;"Verified","Verify metadata",IF(P14="Tier 1","Acquire/check full text",IF(P14="Tier 2","Check holdings / acquire if feasible","Review later")))</x:f>
        <x:v>Check holdings / acquire if feasible</x:v>
      </x:c>
    </x:row>
    <x:row r="15">
      <x:c r="A15" s="16" t="str">
        <x:v>EN-014</x:v>
      </x:c>
      <x:c r="B15" s="16" t="str">
        <x:v>English</x:v>
      </x:c>
      <x:c r="C15" s="16" t="str">
        <x:v>Sarah Stone; Ron Nyren</x:v>
      </x:c>
      <x:c r="D15" s="16" t="str">
        <x:v>Deepening Fiction: A Practical Guide for Intermediate and Advanced Writers</x:v>
      </x:c>
      <x:c r="E15" s="16" t="str"/>
      <x:c r="F15" s="18" t="n">
        <x:v>2004</x:v>
      </x:c>
      <x:c r="G15" s="18" t="n">
        <x:v>2005</x:v>
      </x:c>
      <x:c r="H15" s="16" t="str">
        <x:v>Pearson edition</x:v>
      </x:c>
      <x:c r="I15" s="16" t="str">
        <x:v>Pearson/Longman</x:v>
      </x:c>
      <x:c r="J15" s="20" t="str">
        <x:v>9780321195371</x:v>
      </x:c>
      <x:c r="K15" s="20" t="str">
        <x:v>032119537X</x:v>
      </x:c>
      <x:c r="L15" s="16" t="str">
        <x:v>English</x:v>
      </x:c>
      <x:c r="M15" s="16" t="str">
        <x:v>Original</x:v>
      </x:c>
      <x:c r="N15" s="16" t="str"/>
      <x:c r="O15" s="16" t="str">
        <x:v>General fiction craft</x:v>
      </x:c>
      <x:c r="P15" s="16" t="str">
        <x:v>Tier 2</x:v>
      </x:c>
      <x:c r="Q15" s="16" t="str">
        <x:v>Medium</x:v>
      </x:c>
      <x:c r="R15" s="16" t="str">
        <x:v>Advanced fiction craft likely includes perspective in broader context</x:v>
      </x:c>
      <x:c r="S15" s="16" t="str">
        <x:v>Licensed/library copy likely needed; full-text availability not yet checked</x:v>
      </x:c>
      <x:c r="T15" s="16" t="str">
        <x:v>DNB/HeBIS/Frankfurt holdings not yet systematically checked</x:v>
      </x:c>
      <x:c r="U15" s="20" t="str"/>
      <x:c r="V15" s="20" t="str"/>
      <x:c r="W15" s="16" t="str">
        <x:v>Likely copyrighted; research TDM requires lawful access and applicable §60d UrhG conditions</x:v>
      </x:c>
      <x:c r="X15" s="16" t="str">
        <x:v>https://www.pearson.com/en-us/subject-catalog/p/deepening-fiction-a-practical-guide-for-intermediate-and-advanced-writers/P200000002162/9780321195371</x:v>
      </x:c>
      <x:c r="Y15" s="16" t="str"/>
      <x:c r="Z15" s="16" t="str">
        <x:v>https://portal.dnb.de/opac.htm?method=simpleSearch&amp;query=Deepening+Fiction%3A+A+Practical+Guide+for+Intermediate+and+Advanced+Writers</x:v>
      </x:c>
      <x:c r="AA15" s="16" t="str">
        <x:v>Partial</x:v>
      </x:c>
      <x:c r="AB15" s="16" t="str">
        <x:v>Sources vary between 2004 and 2005 for publication/edition dating.</x:v>
      </x:c>
      <x:c r="AC15" s="16" t="str">
        <x:f>IF(AA15&lt;&gt;"Verified","Verify metadata",IF(P15="Tier 1","Acquire/check full text",IF(P15="Tier 2","Check holdings / acquire if feasible","Review later")))</x:f>
        <x:v>Verify metadata</x:v>
      </x:c>
    </x:row>
    <x:row r="16">
      <x:c r="A16" s="16" t="str">
        <x:v>EN-015</x:v>
      </x:c>
      <x:c r="B16" s="16" t="str">
        <x:v>English</x:v>
      </x:c>
      <x:c r="C16" s="16" t="str">
        <x:v>Sandra Scofield</x:v>
      </x:c>
      <x:c r="D16" s="16" t="str">
        <x:v>The Scene Book: A Primer for the Fiction Writer</x:v>
      </x:c>
      <x:c r="E16" s="16" t="str"/>
      <x:c r="F16" s="18" t="n">
        <x:v>2007</x:v>
      </x:c>
      <x:c r="G16" s="18" t="n">
        <x:v>2007</x:v>
      </x:c>
      <x:c r="H16" s="16" t="str">
        <x:v>First edition</x:v>
      </x:c>
      <x:c r="I16" s="16" t="str">
        <x:v>Penguin Books</x:v>
      </x:c>
      <x:c r="J16" s="20" t="str">
        <x:v>9780143038269</x:v>
      </x:c>
      <x:c r="K16" s="20" t="str">
        <x:v>0143038265</x:v>
      </x:c>
      <x:c r="L16" s="16" t="str">
        <x:v>English</x:v>
      </x:c>
      <x:c r="M16" s="16" t="str">
        <x:v>Original</x:v>
      </x:c>
      <x:c r="N16" s="16" t="str"/>
      <x:c r="O16" s="16" t="str">
        <x:v>Scene craft</x:v>
      </x:c>
      <x:c r="P16" s="16" t="str">
        <x:v>Tier 2</x:v>
      </x:c>
      <x:c r="Q16" s="16" t="str">
        <x:v>Medium</x:v>
      </x:c>
      <x:c r="R16" s="16" t="str">
        <x:v>Perspective may be discussed through scene construction and narrative distance</x:v>
      </x:c>
      <x:c r="S16" s="16" t="str">
        <x:v>Licensed/library copy likely needed; full-text availability not yet checked</x:v>
      </x:c>
      <x:c r="T16" s="16" t="str">
        <x:v>DNB/HeBIS/Frankfurt holdings not yet systematically checked</x:v>
      </x:c>
      <x:c r="U16" s="20" t="str"/>
      <x:c r="V16" s="20" t="str"/>
      <x:c r="W16" s="16" t="str">
        <x:v>Likely copyrighted; research TDM requires lawful access and applicable §60d UrhG conditions</x:v>
      </x:c>
      <x:c r="X16" s="16" t="str">
        <x:v>https://www.penguinrandomhouse.com/books/298674/the-scene-book-by-sandra-scofield/</x:v>
      </x:c>
      <x:c r="Y16" s="16" t="str"/>
      <x:c r="Z16" s="16" t="str">
        <x:v>https://portal.dnb.de/opac.htm?method=simpleSearch&amp;query=The+Scene+Book%3A+A+Primer+for+the+Fiction+Writer</x:v>
      </x:c>
      <x:c r="AA16" s="16" t="str">
        <x:v>Verified</x:v>
      </x:c>
      <x:c r="AB16" s="16" t="str"/>
      <x:c r="AC16" s="16" t="str">
        <x:f>IF(AA16&lt;&gt;"Verified","Verify metadata",IF(P16="Tier 1","Acquire/check full text",IF(P16="Tier 2","Check holdings / acquire if feasible","Review later")))</x:f>
        <x:v>Check holdings / acquire if feasible</x:v>
      </x:c>
    </x:row>
    <x:row r="17">
      <x:c r="A17" s="16" t="str">
        <x:v>EN-016</x:v>
      </x:c>
      <x:c r="B17" s="16" t="str">
        <x:v>English</x:v>
      </x:c>
      <x:c r="C17" s="16" t="str">
        <x:v>Mark Baechtel</x:v>
      </x:c>
      <x:c r="D17" s="16" t="str">
        <x:v>Shaping the Story: A Step-by-Step Guide to Writing Short Fiction</x:v>
      </x:c>
      <x:c r="E17" s="16" t="str"/>
      <x:c r="F17" s="18" t="n">
        <x:v>2004</x:v>
      </x:c>
      <x:c r="G17" s="18" t="n">
        <x:v>2004</x:v>
      </x:c>
      <x:c r="H17" s="16" t="str">
        <x:v>First edition</x:v>
      </x:c>
      <x:c r="I17" s="16" t="str">
        <x:v>Longman</x:v>
      </x:c>
      <x:c r="J17" s="20" t="str">
        <x:v>9780205337194</x:v>
      </x:c>
      <x:c r="K17" s="20" t="str">
        <x:v>0205337198</x:v>
      </x:c>
      <x:c r="L17" s="16" t="str">
        <x:v>English</x:v>
      </x:c>
      <x:c r="M17" s="16" t="str">
        <x:v>Original</x:v>
      </x:c>
      <x:c r="N17" s="16" t="str"/>
      <x:c r="O17" s="16" t="str">
        <x:v>Short fiction craft</x:v>
      </x:c>
      <x:c r="P17" s="16" t="str">
        <x:v>Tier 2</x:v>
      </x:c>
      <x:c r="Q17" s="16" t="str">
        <x:v>Medium</x:v>
      </x:c>
      <x:c r="R17" s="16" t="str">
        <x:v>General short-fiction craft; useful comparison text</x:v>
      </x:c>
      <x:c r="S17" s="16" t="str">
        <x:v>Licensed/library copy likely needed; full-text availability not yet checked</x:v>
      </x:c>
      <x:c r="T17" s="16" t="str">
        <x:v>DNB/HeBIS/Frankfurt holdings not yet systematically checked</x:v>
      </x:c>
      <x:c r="U17" s="20" t="str"/>
      <x:c r="V17" s="20" t="str"/>
      <x:c r="W17" s="16" t="str">
        <x:v>Likely copyrighted; research TDM requires lawful access and applicable §60d UrhG conditions</x:v>
      </x:c>
      <x:c r="X17" s="16" t="str">
        <x:v>https://openlibrary.org/works/OL6036840W/Shaping_the_story</x:v>
      </x:c>
      <x:c r="Y17" s="16" t="str"/>
      <x:c r="Z17" s="16" t="str">
        <x:v>https://portal.dnb.de/opac.htm?method=simpleSearch&amp;query=Shaping+the+Story%3A+A+Step-by-Step+Guide+to+Writing+Short+Fiction</x:v>
      </x:c>
      <x:c r="AA17" s="16" t="str">
        <x:v>Verified</x:v>
      </x:c>
      <x:c r="AB17" s="16" t="str"/>
      <x:c r="AC17" s="16" t="str">
        <x:f>IF(AA17&lt;&gt;"Verified","Verify metadata",IF(P17="Tier 1","Acquire/check full text",IF(P17="Tier 2","Check holdings / acquire if feasible","Review later")))</x:f>
        <x:v>Check holdings / acquire if feasible</x:v>
      </x:c>
    </x:row>
    <x:row r="18">
      <x:c r="A18" s="16" t="str">
        <x:v>EN-017</x:v>
      </x:c>
      <x:c r="B18" s="16" t="str">
        <x:v>English</x:v>
      </x:c>
      <x:c r="C18" s="16" t="str">
        <x:v>Ailsa Cox</x:v>
      </x:c>
      <x:c r="D18" s="16" t="str">
        <x:v>Writing Short Stories</x:v>
      </x:c>
      <x:c r="E18" s="16" t="str"/>
      <x:c r="F18" s="18" t="n">
        <x:v>2005</x:v>
      </x:c>
      <x:c r="G18" s="18" t="n">
        <x:v>2005</x:v>
      </x:c>
      <x:c r="H18" s="16" t="str">
        <x:v>First edition</x:v>
      </x:c>
      <x:c r="I18" s="16" t="str">
        <x:v>Routledge</x:v>
      </x:c>
      <x:c r="J18" s="20" t="str">
        <x:v>9780415303873</x:v>
      </x:c>
      <x:c r="K18" s="20" t="str">
        <x:v>0415303877</x:v>
      </x:c>
      <x:c r="L18" s="16" t="str">
        <x:v>English</x:v>
      </x:c>
      <x:c r="M18" s="16" t="str">
        <x:v>Original</x:v>
      </x:c>
      <x:c r="N18" s="16" t="str"/>
      <x:c r="O18" s="16" t="str">
        <x:v>Short fiction craft</x:v>
      </x:c>
      <x:c r="P18" s="16" t="str">
        <x:v>Tier 2</x:v>
      </x:c>
      <x:c r="Q18" s="16" t="str">
        <x:v>Medium</x:v>
      </x:c>
      <x:c r="R18" s="16" t="str">
        <x:v>Short-story narrative technique and perspective</x:v>
      </x:c>
      <x:c r="S18" s="16" t="str">
        <x:v>Licensed/library copy likely needed; full-text availability not yet checked</x:v>
      </x:c>
      <x:c r="T18" s="16" t="str">
        <x:v>DNB/HeBIS/Frankfurt holdings not yet systematically checked</x:v>
      </x:c>
      <x:c r="U18" s="20" t="str"/>
      <x:c r="V18" s="20" t="str"/>
      <x:c r="W18" s="16" t="str">
        <x:v>Likely copyrighted; research TDM requires lawful access and applicable §60d UrhG conditions</x:v>
      </x:c>
      <x:c r="X18" s="16" t="str">
        <x:v>https://books.google.com/books/about/Writing_Short_Stories.html?id=6uHut6h7sggC</x:v>
      </x:c>
      <x:c r="Y18" s="16" t="str"/>
      <x:c r="Z18" s="16" t="str">
        <x:v>https://portal.dnb.de/opac.htm?method=simpleSearch&amp;query=Writing+Short+Stories</x:v>
      </x:c>
      <x:c r="AA18" s="16" t="str">
        <x:v>Verified</x:v>
      </x:c>
      <x:c r="AB18" s="16" t="str"/>
      <x:c r="AC18" s="16" t="str">
        <x:f>IF(AA18&lt;&gt;"Verified","Verify metadata",IF(P18="Tier 1","Acquire/check full text",IF(P18="Tier 2","Check holdings / acquire if feasible","Review later")))</x:f>
        <x:v>Check holdings / acquire if feasible</x:v>
      </x:c>
    </x:row>
    <x:row r="19">
      <x:c r="A19" s="16" t="str">
        <x:v>EN-018</x:v>
      </x:c>
      <x:c r="B19" s="16" t="str">
        <x:v>English</x:v>
      </x:c>
      <x:c r="C19" s="16" t="str">
        <x:v>Tom Bailey, ed.</x:v>
      </x:c>
      <x:c r="D19" s="16" t="str">
        <x:v>On Writing Short Stories</x:v>
      </x:c>
      <x:c r="E19" s="16" t="str"/>
      <x:c r="F19" s="18" t="n">
        <x:v>2000</x:v>
      </x:c>
      <x:c r="G19" s="18" t="n">
        <x:v>2010</x:v>
      </x:c>
      <x:c r="H19" s="16" t="str">
        <x:v>2nd edition</x:v>
      </x:c>
      <x:c r="I19" s="16" t="str">
        <x:v>Oxford University Press</x:v>
      </x:c>
      <x:c r="J19" s="20" t="str">
        <x:v>9780195395655</x:v>
      </x:c>
      <x:c r="K19" s="20" t="str">
        <x:v>0195395654</x:v>
      </x:c>
      <x:c r="L19" s="16" t="str">
        <x:v>English</x:v>
      </x:c>
      <x:c r="M19" s="16" t="str">
        <x:v>Original</x:v>
      </x:c>
      <x:c r="N19" s="16" t="str"/>
      <x:c r="O19" s="16" t="str">
        <x:v>Short fiction craft/anthology</x:v>
      </x:c>
      <x:c r="P19" s="16" t="str">
        <x:v>Tier 2</x:v>
      </x:c>
      <x:c r="Q19" s="16" t="str">
        <x:v>Medium</x:v>
      </x:c>
      <x:c r="R19" s="16" t="str">
        <x:v>Craft essays provide varied POV discourse</x:v>
      </x:c>
      <x:c r="S19" s="16" t="str">
        <x:v>Licensed/library copy likely needed; full-text availability not yet checked</x:v>
      </x:c>
      <x:c r="T19" s="16" t="str">
        <x:v>DNB/HeBIS/Frankfurt holdings not yet systematically checked</x:v>
      </x:c>
      <x:c r="U19" s="20" t="str"/>
      <x:c r="V19" s="20" t="str">
        <x:v>497884570</x:v>
      </x:c>
      <x:c r="W19" s="16" t="str">
        <x:v>Likely copyrighted; research TDM requires lawful access and applicable §60d UrhG conditions</x:v>
      </x:c>
      <x:c r="X19" s="16" t="str">
        <x:v>https://openlibrary.org/books/OL24002990M/On_writing_short_stories</x:v>
      </x:c>
      <x:c r="Y19" s="16" t="str"/>
      <x:c r="Z19" s="16" t="str">
        <x:v>https://portal.dnb.de/opac.htm?method=simpleSearch&amp;query=On+Writing+Short+Stories</x:v>
      </x:c>
      <x:c r="AA19" s="16" t="str">
        <x:v>Verified</x:v>
      </x:c>
      <x:c r="AB19" s="16" t="str"/>
      <x:c r="AC19" s="16" t="str">
        <x:f>IF(AA19&lt;&gt;"Verified","Verify metadata",IF(P19="Tier 1","Acquire/check full text",IF(P19="Tier 2","Check holdings / acquire if feasible","Review later")))</x:f>
        <x:v>Check holdings / acquire if feasible</x:v>
      </x:c>
    </x:row>
    <x:row r="20">
      <x:c r="A20" s="16" t="str">
        <x:v>EN-019</x:v>
      </x:c>
      <x:c r="B20" s="16" t="str">
        <x:v>English</x:v>
      </x:c>
      <x:c r="C20" s="16" t="str">
        <x:v>Tom Bailey</x:v>
      </x:c>
      <x:c r="D20" s="16" t="str">
        <x:v>A Short Story Writer's Companion</x:v>
      </x:c>
      <x:c r="E20" s="16" t="str"/>
      <x:c r="F20" s="18" t="n">
        <x:v>2001</x:v>
      </x:c>
      <x:c r="G20" s="18" t="n">
        <x:v>2001</x:v>
      </x:c>
      <x:c r="H20" s="16" t="str">
        <x:v>First edition</x:v>
      </x:c>
      <x:c r="I20" s="16" t="str">
        <x:v>Oxford University Press</x:v>
      </x:c>
      <x:c r="J20" s="20" t="str">
        <x:v>9780195135558</x:v>
      </x:c>
      <x:c r="K20" s="20" t="str">
        <x:v>0195135555</x:v>
      </x:c>
      <x:c r="L20" s="16" t="str">
        <x:v>English</x:v>
      </x:c>
      <x:c r="M20" s="16" t="str">
        <x:v>Original</x:v>
      </x:c>
      <x:c r="N20" s="16" t="str"/>
      <x:c r="O20" s="16" t="str">
        <x:v>Short fiction craft</x:v>
      </x:c>
      <x:c r="P20" s="16" t="str">
        <x:v>Tier 2</x:v>
      </x:c>
      <x:c r="Q20" s="16" t="str">
        <x:v>Medium</x:v>
      </x:c>
      <x:c r="R20" s="16" t="str">
        <x:v>General story craft; useful negative/medium comparison</x:v>
      </x:c>
      <x:c r="S20" s="16" t="str">
        <x:v>Licensed/library copy likely needed; full-text availability not yet checked</x:v>
      </x:c>
      <x:c r="T20" s="16" t="str">
        <x:v>DNB/HeBIS/Frankfurt holdings not yet systematically checked</x:v>
      </x:c>
      <x:c r="U20" s="20" t="str"/>
      <x:c r="V20" s="20" t="str"/>
      <x:c r="W20" s="16" t="str">
        <x:v>Likely copyrighted; research TDM requires lawful access and applicable §60d UrhG conditions</x:v>
      </x:c>
      <x:c r="X20" s="16" t="str">
        <x:v>https://books.google.com/books/about/A_Short_Story_Writer_s_Companion.html?id=3xHoKGaIcXcC</x:v>
      </x:c>
      <x:c r="Y20" s="16" t="str"/>
      <x:c r="Z20" s="16" t="str">
        <x:v>https://portal.dnb.de/opac.htm?method=simpleSearch&amp;query=A+Short+Story+Writer%27s+Companion</x:v>
      </x:c>
      <x:c r="AA20" s="16" t="str">
        <x:v>Verified</x:v>
      </x:c>
      <x:c r="AB20" s="16" t="str"/>
      <x:c r="AC20" s="16" t="str">
        <x:f>IF(AA20&lt;&gt;"Verified","Verify metadata",IF(P20="Tier 1","Acquire/check full text",IF(P20="Tier 2","Check holdings / acquire if feasible","Review later")))</x:f>
        <x:v>Check holdings / acquire if feasible</x:v>
      </x:c>
    </x:row>
    <x:row r="21">
      <x:c r="A21" s="16" t="str">
        <x:v>EN-020</x:v>
      </x:c>
      <x:c r="B21" s="16" t="str">
        <x:v>English</x:v>
      </x:c>
      <x:c r="C21" s="16" t="str">
        <x:v>R. V. Cassill</x:v>
      </x:c>
      <x:c r="D21" s="16" t="str">
        <x:v>Writing Fiction</x:v>
      </x:c>
      <x:c r="E21" s="16" t="str"/>
      <x:c r="F21" s="18" t="n">
        <x:v>1962</x:v>
      </x:c>
      <x:c r="G21" s="18" t="n">
        <x:v>1975</x:v>
      </x:c>
      <x:c r="H21" s="16" t="str">
        <x:v>Prentice-Hall edition</x:v>
      </x:c>
      <x:c r="I21" s="16" t="str">
        <x:v>Prentice-Hall</x:v>
      </x:c>
      <x:c r="J21" s="20" t="str">
        <x:v>9780139701030</x:v>
      </x:c>
      <x:c r="K21" s="20" t="str">
        <x:v>0139701036</x:v>
      </x:c>
      <x:c r="L21" s="16" t="str">
        <x:v>English</x:v>
      </x:c>
      <x:c r="M21" s="16" t="str">
        <x:v>Original</x:v>
      </x:c>
      <x:c r="N21" s="16" t="str"/>
      <x:c r="O21" s="16" t="str">
        <x:v>General fiction craft</x:v>
      </x:c>
      <x:c r="P21" s="16" t="str">
        <x:v>Tier 1</x:v>
      </x:c>
      <x:c r="Q21" s="16" t="str">
        <x:v>High</x:v>
      </x:c>
      <x:c r="R21" s="16" t="str">
        <x:v>Older textbook useful for historical comparison of POV terminology</x:v>
      </x:c>
      <x:c r="S21" s="16" t="str">
        <x:v>Licensed/library copy likely needed; full-text availability not yet checked</x:v>
      </x:c>
      <x:c r="T21" s="16" t="str">
        <x:v>DNB/HeBIS/Frankfurt holdings not yet systematically checked</x:v>
      </x:c>
      <x:c r="U21" s="20" t="str"/>
      <x:c r="V21" s="20" t="str"/>
      <x:c r="W21" s="16" t="str">
        <x:v>Likely copyrighted; research TDM requires lawful access and applicable §60d UrhG conditions</x:v>
      </x:c>
      <x:c r="X21" s="16" t="str">
        <x:v>https://openlibrary.org/books/OL52250020M/Writing_Fiction</x:v>
      </x:c>
      <x:c r="Y21" s="16" t="str"/>
      <x:c r="Z21" s="16" t="str">
        <x:v>https://portal.dnb.de/opac.htm?method=simpleSearch&amp;query=Writing+Fiction</x:v>
      </x:c>
      <x:c r="AA21" s="16" t="str">
        <x:v>Verified</x:v>
      </x:c>
      <x:c r="AB21" s="16" t="str"/>
      <x:c r="AC21" s="16" t="str">
        <x:f>IF(AA21&lt;&gt;"Verified","Verify metadata",IF(P21="Tier 1","Acquire/check full text",IF(P21="Tier 2","Check holdings / acquire if feasible","Review later")))</x:f>
        <x:v>Acquire/check full text</x:v>
      </x:c>
    </x:row>
    <x:row r="22">
      <x:c r="A22" s="16" t="str">
        <x:v>EN-021</x:v>
      </x:c>
      <x:c r="B22" s="16" t="str">
        <x:v>English</x:v>
      </x:c>
      <x:c r="C22" s="16" t="str">
        <x:v>Alexander Steele, ed.</x:v>
      </x:c>
      <x:c r="D22" s="16" t="str">
        <x:v>Writing Fiction: The Practical Guide from New York's Acclaimed Creative Writing School</x:v>
      </x:c>
      <x:c r="E22" s="16" t="str"/>
      <x:c r="F22" s="18" t="n">
        <x:v>2003</x:v>
      </x:c>
      <x:c r="G22" s="18" t="n">
        <x:v>2003</x:v>
      </x:c>
      <x:c r="H22" s="16" t="str">
        <x:v>First edition</x:v>
      </x:c>
      <x:c r="I22" s="16" t="str">
        <x:v>Bloomsbury USA</x:v>
      </x:c>
      <x:c r="J22" s="20" t="str">
        <x:v>9781582343303</x:v>
      </x:c>
      <x:c r="K22" s="20" t="str">
        <x:v>1582343306</x:v>
      </x:c>
      <x:c r="L22" s="16" t="str">
        <x:v>English</x:v>
      </x:c>
      <x:c r="M22" s="16" t="str">
        <x:v>Original</x:v>
      </x:c>
      <x:c r="N22" s="16" t="str"/>
      <x:c r="O22" s="16" t="str">
        <x:v>General fiction craft</x:v>
      </x:c>
      <x:c r="P22" s="16" t="str">
        <x:v>Tier 1</x:v>
      </x:c>
      <x:c r="Q22" s="16" t="str">
        <x:v>High</x:v>
      </x:c>
      <x:c r="R22" s="16" t="str">
        <x:v>Broad textbook likely to contain explicit POV teaching</x:v>
      </x:c>
      <x:c r="S22" s="16" t="str">
        <x:v>Licensed/library copy likely needed; full-text availability not yet checked</x:v>
      </x:c>
      <x:c r="T22" s="16" t="str">
        <x:v>DNB/HeBIS/Frankfurt holdings not yet systematically checked</x:v>
      </x:c>
      <x:c r="U22" s="20" t="str"/>
      <x:c r="V22" s="20" t="str">
        <x:v>52547718</x:v>
      </x:c>
      <x:c r="W22" s="16" t="str">
        <x:v>Likely copyrighted; research TDM requires lawful access and applicable §60d UrhG conditions</x:v>
      </x:c>
      <x:c r="X22" s="16" t="str">
        <x:v>https://openlibrary.org/books/OL3689610M/Writing_fiction</x:v>
      </x:c>
      <x:c r="Y22" s="16" t="str"/>
      <x:c r="Z22" s="16" t="str">
        <x:v>https://portal.dnb.de/opac.htm?method=simpleSearch&amp;query=Writing+Fiction%3A+The+Practical+Guide+from+New+York%27s+Acclaimed+Creative+Writing+School</x:v>
      </x:c>
      <x:c r="AA22" s="16" t="str">
        <x:v>Verified</x:v>
      </x:c>
      <x:c r="AB22" s="16" t="str"/>
      <x:c r="AC22" s="16" t="str">
        <x:f>IF(AA22&lt;&gt;"Verified","Verify metadata",IF(P22="Tier 1","Acquire/check full text",IF(P22="Tier 2","Check holdings / acquire if feasible","Review later")))</x:f>
        <x:v>Acquire/check full text</x:v>
      </x:c>
    </x:row>
    <x:row r="23">
      <x:c r="A23" s="16" t="str">
        <x:v>EN-022</x:v>
      </x:c>
      <x:c r="B23" s="16" t="str">
        <x:v>English</x:v>
      </x:c>
      <x:c r="C23" s="16" t="str">
        <x:v>Marvin Diogenes; Clyde Moneyhun</x:v>
      </x:c>
      <x:c r="D23" s="16" t="str">
        <x:v>Crafting Fiction: In Theory, In Practice</x:v>
      </x:c>
      <x:c r="E23" s="16" t="str"/>
      <x:c r="F23" s="18" t="n">
        <x:v>2001</x:v>
      </x:c>
      <x:c r="G23" s="18" t="n">
        <x:v>2001</x:v>
      </x:c>
      <x:c r="H23" s="16" t="str">
        <x:v>First edition</x:v>
      </x:c>
      <x:c r="I23" s="16" t="str">
        <x:v>Mayfield Publishing</x:v>
      </x:c>
      <x:c r="J23" s="20" t="str">
        <x:v>9780767402071</x:v>
      </x:c>
      <x:c r="K23" s="20" t="str">
        <x:v>0767402073</x:v>
      </x:c>
      <x:c r="L23" s="16" t="str">
        <x:v>English</x:v>
      </x:c>
      <x:c r="M23" s="16" t="str">
        <x:v>Original</x:v>
      </x:c>
      <x:c r="N23" s="16" t="str"/>
      <x:c r="O23" s="16" t="str">
        <x:v>General fiction craft</x:v>
      </x:c>
      <x:c r="P23" s="16" t="str">
        <x:v>Tier 2</x:v>
      </x:c>
      <x:c r="Q23" s="16" t="str">
        <x:v>Medium</x:v>
      </x:c>
      <x:c r="R23" s="16" t="str">
        <x:v>Craft textbook suitable for contextual comparison</x:v>
      </x:c>
      <x:c r="S23" s="16" t="str">
        <x:v>Licensed/library copy likely needed; full-text availability not yet checked</x:v>
      </x:c>
      <x:c r="T23" s="16" t="str">
        <x:v>DNB/HeBIS/Frankfurt holdings not yet systematically checked</x:v>
      </x:c>
      <x:c r="U23" s="20" t="str"/>
      <x:c r="V23" s="20" t="str">
        <x:v>45284734</x:v>
      </x:c>
      <x:c r="W23" s="16" t="str">
        <x:v>Likely copyrighted; research TDM requires lawful access and applicable §60d UrhG conditions</x:v>
      </x:c>
      <x:c r="X23" s="16" t="str">
        <x:v>https://search.worldcat.org/title/45284734</x:v>
      </x:c>
      <x:c r="Y23" s="16" t="str"/>
      <x:c r="Z23" s="16" t="str">
        <x:v>https://portal.dnb.de/opac.htm?method=simpleSearch&amp;query=Crafting+Fiction%3A+In+Theory%2C+In+Practice</x:v>
      </x:c>
      <x:c r="AA23" s="16" t="str">
        <x:v>Verified</x:v>
      </x:c>
      <x:c r="AB23" s="16" t="str"/>
      <x:c r="AC23" s="16" t="str">
        <x:f>IF(AA23&lt;&gt;"Verified","Verify metadata",IF(P23="Tier 1","Acquire/check full text",IF(P23="Tier 2","Check holdings / acquire if feasible","Review later")))</x:f>
        <x:v>Check holdings / acquire if feasible</x:v>
      </x:c>
    </x:row>
    <x:row r="24">
      <x:c r="A24" s="16" t="str">
        <x:v>EN-023</x:v>
      </x:c>
      <x:c r="B24" s="16" t="str">
        <x:v>English</x:v>
      </x:c>
      <x:c r="C24" s="16" t="str">
        <x:v>Fred Leebron; Andrew Levy</x:v>
      </x:c>
      <x:c r="D24" s="16" t="str">
        <x:v>Creating Fiction: A Writer's Companion</x:v>
      </x:c>
      <x:c r="E24" s="16" t="str"/>
      <x:c r="F24" s="18" t="n">
        <x:v>1995</x:v>
      </x:c>
      <x:c r="G24" s="18" t="n">
        <x:v>1995</x:v>
      </x:c>
      <x:c r="H24" s="16" t="str">
        <x:v>First edition</x:v>
      </x:c>
      <x:c r="I24" s="16" t="str">
        <x:v>Harcourt Brace</x:v>
      </x:c>
      <x:c r="J24" s="20" t="str">
        <x:v>9780155014145</x:v>
      </x:c>
      <x:c r="K24" s="20" t="str">
        <x:v>0155014145</x:v>
      </x:c>
      <x:c r="L24" s="16" t="str">
        <x:v>English</x:v>
      </x:c>
      <x:c r="M24" s="16" t="str">
        <x:v>Original</x:v>
      </x:c>
      <x:c r="N24" s="16" t="str"/>
      <x:c r="O24" s="16" t="str">
        <x:v>General fiction craft</x:v>
      </x:c>
      <x:c r="P24" s="16" t="str">
        <x:v>Tier 2</x:v>
      </x:c>
      <x:c r="Q24" s="16" t="str">
        <x:v>Medium</x:v>
      </x:c>
      <x:c r="R24" s="16" t="str">
        <x:v>Broad teaching manual; likely POV sections</x:v>
      </x:c>
      <x:c r="S24" s="16" t="str">
        <x:v>Licensed/library copy likely needed; full-text availability not yet checked</x:v>
      </x:c>
      <x:c r="T24" s="16" t="str">
        <x:v>DNB/HeBIS/Frankfurt holdings not yet systematically checked</x:v>
      </x:c>
      <x:c r="U24" s="20" t="str"/>
      <x:c r="V24" s="20" t="str"/>
      <x:c r="W24" s="16" t="str">
        <x:v>Likely copyrighted; research TDM requires lawful access and applicable §60d UrhG conditions</x:v>
      </x:c>
      <x:c r="X24" s="16" t="str">
        <x:v>https://www.abebooks.com/9780155014145/Creating-Fiction-Writers-Companion-Levy-0155014145/plp</x:v>
      </x:c>
      <x:c r="Y24" s="16" t="str"/>
      <x:c r="Z24" s="16" t="str">
        <x:v>https://portal.dnb.de/opac.htm?method=simpleSearch&amp;query=Creating+Fiction%3A+A+Writer%27s+Companion</x:v>
      </x:c>
      <x:c r="AA24" s="16" t="str">
        <x:v>Verified</x:v>
      </x:c>
      <x:c r="AB24" s="16" t="str"/>
      <x:c r="AC24" s="16" t="str">
        <x:f>IF(AA24&lt;&gt;"Verified","Verify metadata",IF(P24="Tier 1","Acquire/check full text",IF(P24="Tier 2","Check holdings / acquire if feasible","Review later")))</x:f>
        <x:v>Check holdings / acquire if feasible</x:v>
      </x:c>
    </x:row>
    <x:row r="25">
      <x:c r="A25" s="16" t="str">
        <x:v>EN-024</x:v>
      </x:c>
      <x:c r="B25" s="16" t="str">
        <x:v>English</x:v>
      </x:c>
      <x:c r="C25" s="16" t="str">
        <x:v>Julie Checkoway, ed.</x:v>
      </x:c>
      <x:c r="D25" s="16" t="str">
        <x:v>Creating Fiction</x:v>
      </x:c>
      <x:c r="E25" s="16" t="str"/>
      <x:c r="F25" s="18" t="n">
        <x:v>2001</x:v>
      </x:c>
      <x:c r="G25" s="18" t="n">
        <x:v>2001</x:v>
      </x:c>
      <x:c r="H25" s="16" t="str">
        <x:v>First edition</x:v>
      </x:c>
      <x:c r="I25" s="16" t="str">
        <x:v>Story Press</x:v>
      </x:c>
      <x:c r="J25" s="20" t="str">
        <x:v>9781884910517</x:v>
      </x:c>
      <x:c r="K25" s="20" t="str">
        <x:v>1884910513</x:v>
      </x:c>
      <x:c r="L25" s="16" t="str">
        <x:v>English</x:v>
      </x:c>
      <x:c r="M25" s="16" t="str">
        <x:v>Original</x:v>
      </x:c>
      <x:c r="N25" s="16" t="str"/>
      <x:c r="O25" s="16" t="str">
        <x:v>General fiction craft</x:v>
      </x:c>
      <x:c r="P25" s="16" t="str">
        <x:v>Tier 2</x:v>
      </x:c>
      <x:c r="Q25" s="16" t="str">
        <x:v>Medium</x:v>
      </x:c>
      <x:c r="R25" s="16" t="str">
        <x:v>Multi-author craft source</x:v>
      </x:c>
      <x:c r="S25" s="16" t="str">
        <x:v>Licensed/library copy likely needed; full-text availability not yet checked</x:v>
      </x:c>
      <x:c r="T25" s="16" t="str">
        <x:v>DNB/HeBIS/Frankfurt holdings not yet systematically checked</x:v>
      </x:c>
      <x:c r="U25" s="20" t="str"/>
      <x:c r="V25" s="20" t="str"/>
      <x:c r="W25" s="16" t="str">
        <x:v>Likely copyrighted; research TDM requires lawful access and applicable §60d UrhG conditions</x:v>
      </x:c>
      <x:c r="X25" s="16" t="str">
        <x:v>https://openlibrary.org/books/OL8702283M/Creating_Fiction</x:v>
      </x:c>
      <x:c r="Y25" s="16" t="str"/>
      <x:c r="Z25" s="16" t="str">
        <x:v>https://portal.dnb.de/opac.htm?method=simpleSearch&amp;query=Creating+Fiction</x:v>
      </x:c>
      <x:c r="AA25" s="16" t="str">
        <x:v>Verified</x:v>
      </x:c>
      <x:c r="AB25" s="16" t="str"/>
      <x:c r="AC25" s="16" t="str">
        <x:f>IF(AA25&lt;&gt;"Verified","Verify metadata",IF(P25="Tier 1","Acquire/check full text",IF(P25="Tier 2","Check holdings / acquire if feasible","Review later")))</x:f>
        <x:v>Check holdings / acquire if feasible</x:v>
      </x:c>
    </x:row>
    <x:row r="26">
      <x:c r="A26" s="16" t="str">
        <x:v>EN-025</x:v>
      </x:c>
      <x:c r="B26" s="16" t="str">
        <x:v>English</x:v>
      </x:c>
      <x:c r="C26" s="16" t="str">
        <x:v>Richard Cohen</x:v>
      </x:c>
      <x:c r="D26" s="16" t="str">
        <x:v>Writer's Mind: Crafting Fiction</x:v>
      </x:c>
      <x:c r="E26" s="16" t="str"/>
      <x:c r="F26" s="18" t="n">
        <x:v>1995</x:v>
      </x:c>
      <x:c r="G26" s="18" t="n">
        <x:v>1995</x:v>
      </x:c>
      <x:c r="H26" s="16" t="str">
        <x:v>First edition</x:v>
      </x:c>
      <x:c r="I26" s="16" t="str">
        <x:v>NTC Publishing</x:v>
      </x:c>
      <x:c r="J26" s="20" t="str">
        <x:v>9780844258645</x:v>
      </x:c>
      <x:c r="K26" s="20" t="str">
        <x:v>0844258644</x:v>
      </x:c>
      <x:c r="L26" s="16" t="str">
        <x:v>English</x:v>
      </x:c>
      <x:c r="M26" s="16" t="str">
        <x:v>Original</x:v>
      </x:c>
      <x:c r="N26" s="16" t="str"/>
      <x:c r="O26" s="16" t="str">
        <x:v>General fiction craft</x:v>
      </x:c>
      <x:c r="P26" s="16" t="str">
        <x:v>Tier 2</x:v>
      </x:c>
      <x:c r="Q26" s="16" t="str">
        <x:v>Medium</x:v>
      </x:c>
      <x:c r="R26" s="16" t="str">
        <x:v>Useful general craft comparison</x:v>
      </x:c>
      <x:c r="S26" s="16" t="str">
        <x:v>Licensed/library copy likely needed; full-text availability not yet checked</x:v>
      </x:c>
      <x:c r="T26" s="16" t="str">
        <x:v>DNB/HeBIS/Frankfurt holdings not yet systematically checked</x:v>
      </x:c>
      <x:c r="U26" s="20" t="str"/>
      <x:c r="V26" s="20" t="str">
        <x:v>31892217</x:v>
      </x:c>
      <x:c r="W26" s="16" t="str">
        <x:v>Likely copyrighted; research TDM requires lawful access and applicable §60d UrhG conditions</x:v>
      </x:c>
      <x:c r="X26" s="16" t="str">
        <x:v>https://openlibrary.org/books/OL1125061M/Writer%27s_mind</x:v>
      </x:c>
      <x:c r="Y26" s="16" t="str"/>
      <x:c r="Z26" s="16" t="str">
        <x:v>https://portal.dnb.de/opac.htm?method=simpleSearch&amp;query=Writer%27s+Mind%3A+Crafting+Fiction</x:v>
      </x:c>
      <x:c r="AA26" s="16" t="str">
        <x:v>Verified</x:v>
      </x:c>
      <x:c r="AB26" s="16" t="str"/>
      <x:c r="AC26" s="16" t="str">
        <x:f>IF(AA26&lt;&gt;"Verified","Verify metadata",IF(P26="Tier 1","Acquire/check full text",IF(P26="Tier 2","Check holdings / acquire if feasible","Review later")))</x:f>
        <x:v>Check holdings / acquire if feasible</x:v>
      </x:c>
    </x:row>
    <x:row r="27">
      <x:c r="A27" s="16" t="str">
        <x:v>EN-026</x:v>
      </x:c>
      <x:c r="B27" s="16" t="str">
        <x:v>English</x:v>
      </x:c>
      <x:c r="C27" s="16" t="str">
        <x:v>Ann Copeland</x:v>
      </x:c>
      <x:c r="D27" s="16" t="str">
        <x:v>The ABC's of Writing Fiction</x:v>
      </x:c>
      <x:c r="E27" s="16" t="str"/>
      <x:c r="F27" s="18" t="n">
        <x:v>1996</x:v>
      </x:c>
      <x:c r="G27" s="18" t="n">
        <x:v>1996</x:v>
      </x:c>
      <x:c r="H27" s="16" t="str">
        <x:v>First edition</x:v>
      </x:c>
      <x:c r="I27" s="16" t="str">
        <x:v>Story Press</x:v>
      </x:c>
      <x:c r="J27" s="20" t="str">
        <x:v>9781884910128</x:v>
      </x:c>
      <x:c r="K27" s="20" t="str">
        <x:v>1884910122</x:v>
      </x:c>
      <x:c r="L27" s="16" t="str">
        <x:v>English</x:v>
      </x:c>
      <x:c r="M27" s="16" t="str">
        <x:v>Original</x:v>
      </x:c>
      <x:c r="N27" s="16" t="str"/>
      <x:c r="O27" s="16" t="str">
        <x:v>General fiction craft</x:v>
      </x:c>
      <x:c r="P27" s="16" t="str">
        <x:v>Tier 2</x:v>
      </x:c>
      <x:c r="Q27" s="16" t="str">
        <x:v>Medium</x:v>
      </x:c>
      <x:c r="R27" s="16" t="str">
        <x:v>General fiction manual; candidate for POV mentions</x:v>
      </x:c>
      <x:c r="S27" s="16" t="str">
        <x:v>Licensed/library copy likely needed; full-text availability not yet checked</x:v>
      </x:c>
      <x:c r="T27" s="16" t="str">
        <x:v>DNB/HeBIS/Frankfurt holdings not yet systematically checked</x:v>
      </x:c>
      <x:c r="U27" s="20" t="str"/>
      <x:c r="V27" s="20" t="str">
        <x:v>34029866</x:v>
      </x:c>
      <x:c r="W27" s="16" t="str">
        <x:v>Likely copyrighted; research TDM requires lawful access and applicable §60d UrhG conditions</x:v>
      </x:c>
      <x:c r="X27" s="16" t="str">
        <x:v>https://openlibrary.org/books/OL815671M/The_ABC%27s_of_writing_fiction</x:v>
      </x:c>
      <x:c r="Y27" s="16" t="str"/>
      <x:c r="Z27" s="16" t="str">
        <x:v>https://portal.dnb.de/opac.htm?method=simpleSearch&amp;query=The+ABC%27s+of+Writing+Fiction</x:v>
      </x:c>
      <x:c r="AA27" s="16" t="str">
        <x:v>Verified</x:v>
      </x:c>
      <x:c r="AB27" s="16" t="str"/>
      <x:c r="AC27" s="16" t="str">
        <x:f>IF(AA27&lt;&gt;"Verified","Verify metadata",IF(P27="Tier 1","Acquire/check full text",IF(P27="Tier 2","Check holdings / acquire if feasible","Review later")))</x:f>
        <x:v>Check holdings / acquire if feasible</x:v>
      </x:c>
    </x:row>
    <x:row r="28">
      <x:c r="A28" s="16" t="str">
        <x:v>EN-027</x:v>
      </x:c>
      <x:c r="B28" s="16" t="str">
        <x:v>English</x:v>
      </x:c>
      <x:c r="C28" s="16" t="str">
        <x:v>Nicholas Delbanco</x:v>
      </x:c>
      <x:c r="D28" s="16" t="str">
        <x:v>The Sincerest Form: Writing Fiction by Imitation</x:v>
      </x:c>
      <x:c r="E28" s="16" t="str"/>
      <x:c r="F28" s="18" t="n">
        <x:v>2004</x:v>
      </x:c>
      <x:c r="G28" s="18" t="n">
        <x:v>2004</x:v>
      </x:c>
      <x:c r="H28" s="16" t="str">
        <x:v>First edition</x:v>
      </x:c>
      <x:c r="I28" s="16" t="str">
        <x:v>McGraw-Hill</x:v>
      </x:c>
      <x:c r="J28" s="20" t="str">
        <x:v>9780072414714</x:v>
      </x:c>
      <x:c r="K28" s="20" t="str">
        <x:v>0072414715</x:v>
      </x:c>
      <x:c r="L28" s="16" t="str">
        <x:v>English</x:v>
      </x:c>
      <x:c r="M28" s="16" t="str">
        <x:v>Original</x:v>
      </x:c>
      <x:c r="N28" s="16" t="str"/>
      <x:c r="O28" s="16" t="str">
        <x:v>Fiction exercises/imitation</x:v>
      </x:c>
      <x:c r="P28" s="16" t="str">
        <x:v>Tier 3</x:v>
      </x:c>
      <x:c r="Q28" s="16" t="str">
        <x:v>Low</x:v>
      </x:c>
      <x:c r="R28" s="16" t="str">
        <x:v>Useful contrast for indirect POV discussion</x:v>
      </x:c>
      <x:c r="S28" s="16" t="str">
        <x:v>Licensed/library copy likely needed; full-text availability not yet checked</x:v>
      </x:c>
      <x:c r="T28" s="16" t="str">
        <x:v>DNB/HeBIS/Frankfurt holdings not yet systematically checked</x:v>
      </x:c>
      <x:c r="U28" s="20" t="str"/>
      <x:c r="V28" s="20" t="str"/>
      <x:c r="W28" s="16" t="str">
        <x:v>Likely copyrighted; research TDM requires lawful access and applicable §60d UrhG conditions</x:v>
      </x:c>
      <x:c r="X28" s="16" t="str">
        <x:v>https://opac.library.lirauni.ac.ug/cgi-bin/koha/opac-ISBDdetail.pl?biblionumber=2444</x:v>
      </x:c>
      <x:c r="Y28" s="16" t="str"/>
      <x:c r="Z28" s="16" t="str">
        <x:v>https://portal.dnb.de/opac.htm?method=simpleSearch&amp;query=The+Sincerest+Form%3A+Writing+Fiction+by+Imitation</x:v>
      </x:c>
      <x:c r="AA28" s="16" t="str">
        <x:v>Verified</x:v>
      </x:c>
      <x:c r="AB28" s="16" t="str"/>
      <x:c r="AC28" s="16" t="str">
        <x:f>IF(AA28&lt;&gt;"Verified","Verify metadata",IF(P28="Tier 1","Acquire/check full text",IF(P28="Tier 2","Check holdings / acquire if feasible","Review later")))</x:f>
        <x:v>Review later</x:v>
      </x:c>
    </x:row>
    <x:row r="29">
      <x:c r="A29" s="16" t="str">
        <x:v>EN-028</x:v>
      </x:c>
      <x:c r="B29" s="16" t="str">
        <x:v>English</x:v>
      </x:c>
      <x:c r="C29" s="16" t="str">
        <x:v>A. B. Guthrie Jr.</x:v>
      </x:c>
      <x:c r="D29" s="16" t="str">
        <x:v>A Field Guide to Writing Fiction</x:v>
      </x:c>
      <x:c r="E29" s="16" t="str"/>
      <x:c r="F29" s="18" t="n">
        <x:v>1991</x:v>
      </x:c>
      <x:c r="G29" s="18" t="n">
        <x:v>1991</x:v>
      </x:c>
      <x:c r="H29" s="16" t="str">
        <x:v>First edition</x:v>
      </x:c>
      <x:c r="I29" s="16" t="str">
        <x:v>HarperCollins</x:v>
      </x:c>
      <x:c r="J29" s="20" t="str">
        <x:v>9780062700025</x:v>
      </x:c>
      <x:c r="K29" s="20" t="str">
        <x:v>0062700022</x:v>
      </x:c>
      <x:c r="L29" s="16" t="str">
        <x:v>English</x:v>
      </x:c>
      <x:c r="M29" s="16" t="str">
        <x:v>Original</x:v>
      </x:c>
      <x:c r="N29" s="16" t="str"/>
      <x:c r="O29" s="16" t="str">
        <x:v>General fiction craft</x:v>
      </x:c>
      <x:c r="P29" s="16" t="str">
        <x:v>Tier 2</x:v>
      </x:c>
      <x:c r="Q29" s="16" t="str">
        <x:v>Medium</x:v>
      </x:c>
      <x:c r="R29" s="16" t="str">
        <x:v>General narrative craft</x:v>
      </x:c>
      <x:c r="S29" s="16" t="str">
        <x:v>Licensed/library copy likely needed; full-text availability not yet checked</x:v>
      </x:c>
      <x:c r="T29" s="16" t="str">
        <x:v>DNB/HeBIS/Frankfurt holdings not yet systematically checked</x:v>
      </x:c>
      <x:c r="U29" s="20" t="str"/>
      <x:c r="V29" s="20" t="str">
        <x:v>22115525</x:v>
      </x:c>
      <x:c r="W29" s="16" t="str">
        <x:v>Likely copyrighted; research TDM requires lawful access and applicable §60d UrhG conditions</x:v>
      </x:c>
      <x:c r="X29" s="16" t="str">
        <x:v>https://openlibrary.org/books/OL1890556M/A_field_guide_to_writing_fiction</x:v>
      </x:c>
      <x:c r="Y29" s="16" t="str"/>
      <x:c r="Z29" s="16" t="str">
        <x:v>https://portal.dnb.de/opac.htm?method=simpleSearch&amp;query=A+Field+Guide+to+Writing+Fiction</x:v>
      </x:c>
      <x:c r="AA29" s="16" t="str">
        <x:v>Verified</x:v>
      </x:c>
      <x:c r="AB29" s="16" t="str"/>
      <x:c r="AC29" s="16" t="str">
        <x:f>IF(AA29&lt;&gt;"Verified","Verify metadata",IF(P29="Tier 1","Acquire/check full text",IF(P29="Tier 2","Check holdings / acquire if feasible","Review later")))</x:f>
        <x:v>Check holdings / acquire if feasible</x:v>
      </x:c>
    </x:row>
    <x:row r="30">
      <x:c r="A30" s="16" t="str">
        <x:v>EN-029</x:v>
      </x:c>
      <x:c r="B30" s="16" t="str">
        <x:v>English</x:v>
      </x:c>
      <x:c r="C30" s="16" t="str">
        <x:v>Carol Bly</x:v>
      </x:c>
      <x:c r="D30" s="16" t="str">
        <x:v>The Passionate, Accurate Story</x:v>
      </x:c>
      <x:c r="E30" s="16" t="str"/>
      <x:c r="F30" s="18" t="n">
        <x:v>1990</x:v>
      </x:c>
      <x:c r="G30" s="18" t="n">
        <x:v>1990</x:v>
      </x:c>
      <x:c r="H30" s="16" t="str">
        <x:v>First edition</x:v>
      </x:c>
      <x:c r="I30" s="16" t="str">
        <x:v>Milkweed Editions</x:v>
      </x:c>
      <x:c r="J30" s="20" t="str">
        <x:v>9780915943531</x:v>
      </x:c>
      <x:c r="K30" s="20" t="str">
        <x:v>0915943530</x:v>
      </x:c>
      <x:c r="L30" s="16" t="str">
        <x:v>English</x:v>
      </x:c>
      <x:c r="M30" s="16" t="str">
        <x:v>Original</x:v>
      </x:c>
      <x:c r="N30" s="16" t="str"/>
      <x:c r="O30" s="16" t="str">
        <x:v>Story craft</x:v>
      </x:c>
      <x:c r="P30" s="16" t="str">
        <x:v>Tier 2</x:v>
      </x:c>
      <x:c r="Q30" s="16" t="str">
        <x:v>Medium</x:v>
      </x:c>
      <x:c r="R30" s="16" t="str">
        <x:v>Narrative ethics/craft and story construction</x:v>
      </x:c>
      <x:c r="S30" s="16" t="str">
        <x:v>Licensed/library copy likely needed; full-text availability not yet checked</x:v>
      </x:c>
      <x:c r="T30" s="16" t="str">
        <x:v>DNB/HeBIS/Frankfurt holdings not yet systematically checked</x:v>
      </x:c>
      <x:c r="U30" s="20" t="str"/>
      <x:c r="V30" s="20" t="str"/>
      <x:c r="W30" s="16" t="str">
        <x:v>Likely copyrighted; research TDM requires lawful access and applicable §60d UrhG conditions</x:v>
      </x:c>
      <x:c r="X30" s="16" t="str">
        <x:v>https://books.google.com/books/about/The_Passionate_Accurate_Story.html?id=rk96AAAAIAAJ</x:v>
      </x:c>
      <x:c r="Y30" s="16" t="str"/>
      <x:c r="Z30" s="16" t="str">
        <x:v>https://portal.dnb.de/opac.htm?method=simpleSearch&amp;query=The+Passionate%2C+Accurate+Story</x:v>
      </x:c>
      <x:c r="AA30" s="16" t="str">
        <x:v>Verified</x:v>
      </x:c>
      <x:c r="AB30" s="16" t="str"/>
      <x:c r="AC30" s="16" t="str">
        <x:f>IF(AA30&lt;&gt;"Verified","Verify metadata",IF(P30="Tier 1","Acquire/check full text",IF(P30="Tier 2","Check holdings / acquire if feasible","Review later")))</x:f>
        <x:v>Check holdings / acquire if feasible</x:v>
      </x:c>
    </x:row>
    <x:row r="31">
      <x:c r="A31" s="16" t="str">
        <x:v>EN-030</x:v>
      </x:c>
      <x:c r="B31" s="16" t="str">
        <x:v>English</x:v>
      </x:c>
      <x:c r="C31" s="16" t="str">
        <x:v>Brian Kiteley</x:v>
      </x:c>
      <x:c r="D31" s="16" t="str">
        <x:v>The 3 A.M. Epiphany: Uncommon Writing Exercises That Transform Your Fiction</x:v>
      </x:c>
      <x:c r="E31" s="16" t="str"/>
      <x:c r="F31" s="18" t="n">
        <x:v>2005</x:v>
      </x:c>
      <x:c r="G31" s="18" t="n">
        <x:v>2005</x:v>
      </x:c>
      <x:c r="H31" s="16" t="str">
        <x:v>First edition</x:v>
      </x:c>
      <x:c r="I31" s="16" t="str">
        <x:v>Writer's Digest Books</x:v>
      </x:c>
      <x:c r="J31" s="20" t="str">
        <x:v>9781582973517</x:v>
      </x:c>
      <x:c r="K31" s="20" t="str">
        <x:v>1582973512</x:v>
      </x:c>
      <x:c r="L31" s="16" t="str">
        <x:v>English</x:v>
      </x:c>
      <x:c r="M31" s="16" t="str">
        <x:v>Original</x:v>
      </x:c>
      <x:c r="N31" s="16" t="str"/>
      <x:c r="O31" s="16" t="str">
        <x:v>Writing exercises</x:v>
      </x:c>
      <x:c r="P31" s="16" t="str">
        <x:v>Tier 3</x:v>
      </x:c>
      <x:c r="Q31" s="16" t="str">
        <x:v>Low</x:v>
      </x:c>
      <x:c r="R31" s="16" t="str">
        <x:v>Exercise-centered; useful negative/control text</x:v>
      </x:c>
      <x:c r="S31" s="16" t="str">
        <x:v>Licensed/library copy likely needed; full-text availability not yet checked</x:v>
      </x:c>
      <x:c r="T31" s="16" t="str">
        <x:v>DNB/HeBIS/Frankfurt holdings not yet systematically checked</x:v>
      </x:c>
      <x:c r="U31" s="20" t="str"/>
      <x:c r="V31" s="20" t="str"/>
      <x:c r="W31" s="16" t="str">
        <x:v>Likely copyrighted; research TDM requires lawful access and applicable §60d UrhG conditions</x:v>
      </x:c>
      <x:c r="X31" s="16" t="str">
        <x:v>https://obnb.uk/p13261717-the-3-am-epiphany-uncommon-writing-exercises-that-transform-your-fiction</x:v>
      </x:c>
      <x:c r="Y31" s="16" t="str"/>
      <x:c r="Z31" s="16" t="str">
        <x:v>https://portal.dnb.de/opac.htm?method=simpleSearch&amp;query=The+3+A.M.+Epiphany%3A+Uncommon+Writing+Exercises+That+Transform+Your+Fiction</x:v>
      </x:c>
      <x:c r="AA31" s="16" t="str">
        <x:v>Verified</x:v>
      </x:c>
      <x:c r="AB31" s="16" t="str"/>
      <x:c r="AC31" s="16" t="str">
        <x:f>IF(AA31&lt;&gt;"Verified","Verify metadata",IF(P31="Tier 1","Acquire/check full text",IF(P31="Tier 2","Check holdings / acquire if feasible","Review later")))</x:f>
        <x:v>Review later</x:v>
      </x:c>
    </x:row>
    <x:row r="32">
      <x:c r="A32" s="16" t="str">
        <x:v>EN-031</x:v>
      </x:c>
      <x:c r="B32" s="16" t="str">
        <x:v>English</x:v>
      </x:c>
      <x:c r="C32" s="16" t="str">
        <x:v>Brian Kiteley</x:v>
      </x:c>
      <x:c r="D32" s="16" t="str">
        <x:v>The 4 A.M. Breakthrough: Unconventional Writing Exercises That Transform Your Fiction</x:v>
      </x:c>
      <x:c r="E32" s="16" t="str"/>
      <x:c r="F32" s="18" t="n">
        <x:v>2009</x:v>
      </x:c>
      <x:c r="G32" s="18" t="n">
        <x:v>2009</x:v>
      </x:c>
      <x:c r="H32" s="16" t="str">
        <x:v>First edition</x:v>
      </x:c>
      <x:c r="I32" s="16" t="str">
        <x:v>Writer's Digest Books</x:v>
      </x:c>
      <x:c r="J32" s="20" t="str">
        <x:v>9781582975634</x:v>
      </x:c>
      <x:c r="K32" s="20" t="str">
        <x:v>1582975639</x:v>
      </x:c>
      <x:c r="L32" s="16" t="str">
        <x:v>English</x:v>
      </x:c>
      <x:c r="M32" s="16" t="str">
        <x:v>Original</x:v>
      </x:c>
      <x:c r="N32" s="16" t="str"/>
      <x:c r="O32" s="16" t="str">
        <x:v>Writing exercises</x:v>
      </x:c>
      <x:c r="P32" s="16" t="str">
        <x:v>Tier 3</x:v>
      </x:c>
      <x:c r="Q32" s="16" t="str">
        <x:v>Low</x:v>
      </x:c>
      <x:c r="R32" s="16" t="str">
        <x:v>Exercise-centered; may contain perspective exercises</x:v>
      </x:c>
      <x:c r="S32" s="16" t="str">
        <x:v>Licensed/library copy likely needed; full-text availability not yet checked</x:v>
      </x:c>
      <x:c r="T32" s="16" t="str">
        <x:v>DNB/HeBIS/Frankfurt holdings not yet systematically checked</x:v>
      </x:c>
      <x:c r="U32" s="20" t="str"/>
      <x:c r="V32" s="20" t="str"/>
      <x:c r="W32" s="16" t="str">
        <x:v>Likely copyrighted; research TDM requires lawful access and applicable §60d UrhG conditions</x:v>
      </x:c>
      <x:c r="X32" s="16" t="str">
        <x:v>https://www.penguinrandomhouse.com/books/633163/4-am-breakthrough-by-brian-kiteley/</x:v>
      </x:c>
      <x:c r="Y32" s="16" t="str"/>
      <x:c r="Z32" s="16" t="str">
        <x:v>https://portal.dnb.de/opac.htm?method=simpleSearch&amp;query=The+4+A.M.+Breakthrough%3A+Unconventional+Writing+Exercises+That+Transform+Your+Fiction</x:v>
      </x:c>
      <x:c r="AA32" s="16" t="str">
        <x:v>Verified</x:v>
      </x:c>
      <x:c r="AB32" s="16" t="str"/>
      <x:c r="AC32" s="16" t="str">
        <x:f>IF(AA32&lt;&gt;"Verified","Verify metadata",IF(P32="Tier 1","Acquire/check full text",IF(P32="Tier 2","Check holdings / acquire if feasible","Review later")))</x:f>
        <x:v>Review later</x:v>
      </x:c>
    </x:row>
    <x:row r="33">
      <x:c r="A33" s="16" t="str">
        <x:v>EN-032</x:v>
      </x:c>
      <x:c r="B33" s="16" t="str">
        <x:v>English</x:v>
      </x:c>
      <x:c r="C33" s="16" t="str">
        <x:v>Anne Bernays; Pamela Painter</x:v>
      </x:c>
      <x:c r="D33" s="16" t="str">
        <x:v>What If? Writing Exercises for Fiction Writers</x:v>
      </x:c>
      <x:c r="E33" s="16" t="str"/>
      <x:c r="F33" s="18" t="n">
        <x:v>1990</x:v>
      </x:c>
      <x:c r="G33" s="18" t="n">
        <x:v>1990</x:v>
      </x:c>
      <x:c r="H33" s="16" t="str">
        <x:v>First edition</x:v>
      </x:c>
      <x:c r="I33" s="16" t="str">
        <x:v>HarperCollins</x:v>
      </x:c>
      <x:c r="J33" s="20" t="str">
        <x:v>9780062700384</x:v>
      </x:c>
      <x:c r="K33" s="20" t="str">
        <x:v>0062700383</x:v>
      </x:c>
      <x:c r="L33" s="16" t="str">
        <x:v>English</x:v>
      </x:c>
      <x:c r="M33" s="16" t="str">
        <x:v>Original</x:v>
      </x:c>
      <x:c r="N33" s="16" t="str"/>
      <x:c r="O33" s="16" t="str">
        <x:v>Writing exercises</x:v>
      </x:c>
      <x:c r="P33" s="16" t="str">
        <x:v>Tier 2</x:v>
      </x:c>
      <x:c r="Q33" s="16" t="str">
        <x:v>Medium</x:v>
      </x:c>
      <x:c r="R33" s="16" t="str">
        <x:v>Exercises likely include narrator/viewpoint manipulation</x:v>
      </x:c>
      <x:c r="S33" s="16" t="str">
        <x:v>Licensed/library copy likely needed; full-text availability not yet checked</x:v>
      </x:c>
      <x:c r="T33" s="16" t="str">
        <x:v>DNB/HeBIS/Frankfurt holdings not yet systematically checked</x:v>
      </x:c>
      <x:c r="U33" s="20" t="str"/>
      <x:c r="V33" s="20" t="str"/>
      <x:c r="W33" s="16" t="str">
        <x:v>Likely copyrighted; research TDM requires lawful access and applicable §60d UrhG conditions</x:v>
      </x:c>
      <x:c r="X33" s="16" t="str">
        <x:v>https://books.google.com/books/about/What_If.html?id=dEskAQAAMAAJ</x:v>
      </x:c>
      <x:c r="Y33" s="16" t="str"/>
      <x:c r="Z33" s="16" t="str">
        <x:v>https://portal.dnb.de/opac.htm?method=simpleSearch&amp;query=What+If%3F+Writing+Exercises+for+Fiction+Writers</x:v>
      </x:c>
      <x:c r="AA33" s="16" t="str">
        <x:v>Verified</x:v>
      </x:c>
      <x:c r="AB33" s="16" t="str"/>
      <x:c r="AC33" s="16" t="str">
        <x:f>IF(AA33&lt;&gt;"Verified","Verify metadata",IF(P33="Tier 1","Acquire/check full text",IF(P33="Tier 2","Check holdings / acquire if feasible","Review later")))</x:f>
        <x:v>Check holdings / acquire if feasible</x:v>
      </x:c>
    </x:row>
    <x:row r="34">
      <x:c r="A34" s="16" t="str">
        <x:v>EN-033</x:v>
      </x:c>
      <x:c r="B34" s="16" t="str">
        <x:v>English</x:v>
      </x:c>
      <x:c r="C34" s="16" t="str">
        <x:v>Bret Anthony Johnston, ed.</x:v>
      </x:c>
      <x:c r="D34" s="16" t="str">
        <x:v>Naming the World: And Other Exercises for the Creative Writer</x:v>
      </x:c>
      <x:c r="E34" s="16" t="str"/>
      <x:c r="F34" s="18" t="n">
        <x:v>2007</x:v>
      </x:c>
      <x:c r="G34" s="18" t="n">
        <x:v>2008</x:v>
      </x:c>
      <x:c r="H34" s="16" t="str">
        <x:v>Trade paperback edition</x:v>
      </x:c>
      <x:c r="I34" s="16" t="str">
        <x:v>Random House</x:v>
      </x:c>
      <x:c r="J34" s="20" t="str">
        <x:v>9780812975482</x:v>
      </x:c>
      <x:c r="K34" s="20" t="str">
        <x:v>0812975480</x:v>
      </x:c>
      <x:c r="L34" s="16" t="str">
        <x:v>English</x:v>
      </x:c>
      <x:c r="M34" s="16" t="str">
        <x:v>Original</x:v>
      </x:c>
      <x:c r="N34" s="16" t="str"/>
      <x:c r="O34" s="16" t="str">
        <x:v>Writing exercises</x:v>
      </x:c>
      <x:c r="P34" s="16" t="str">
        <x:v>Tier 3</x:v>
      </x:c>
      <x:c r="Q34" s="16" t="str">
        <x:v>Low</x:v>
      </x:c>
      <x:c r="R34" s="16" t="str">
        <x:v>Broad exercises; useful comparison/control</x:v>
      </x:c>
      <x:c r="S34" s="16" t="str">
        <x:v>Licensed/library copy likely needed; full-text availability not yet checked</x:v>
      </x:c>
      <x:c r="T34" s="16" t="str">
        <x:v>DNB/HeBIS/Frankfurt holdings not yet systematically checked</x:v>
      </x:c>
      <x:c r="U34" s="20" t="str"/>
      <x:c r="V34" s="20" t="str">
        <x:v>123377349</x:v>
      </x:c>
      <x:c r="W34" s="16" t="str">
        <x:v>Likely copyrighted; research TDM requires lawful access and applicable §60d UrhG conditions</x:v>
      </x:c>
      <x:c r="X34" s="16" t="str">
        <x:v>https://openlibrary.org/books/OL17901282M/Naming_the_world</x:v>
      </x:c>
      <x:c r="Y34" s="16" t="str"/>
      <x:c r="Z34" s="16" t="str">
        <x:v>https://portal.dnb.de/opac.htm?method=simpleSearch&amp;query=Naming+the+World%3A+And+Other+Exercises+for+the+Creative+Writer</x:v>
      </x:c>
      <x:c r="AA34" s="16" t="str">
        <x:v>Partial</x:v>
      </x:c>
      <x:c r="AB34" s="16" t="str">
        <x:v>Catalog/publication dates vary between 2007 and January 2008.</x:v>
      </x:c>
      <x:c r="AC34" s="16" t="str">
        <x:f>IF(AA34&lt;&gt;"Verified","Verify metadata",IF(P34="Tier 1","Acquire/check full text",IF(P34="Tier 2","Check holdings / acquire if feasible","Review later")))</x:f>
        <x:v>Verify metadata</x:v>
      </x:c>
    </x:row>
    <x:row r="35">
      <x:c r="A35" s="16" t="str">
        <x:v>EN-034</x:v>
      </x:c>
      <x:c r="B35" s="16" t="str">
        <x:v>English</x:v>
      </x:c>
      <x:c r="C35" s="16" t="str">
        <x:v>Michael Martone; Susan Neville</x:v>
      </x:c>
      <x:c r="D35" s="16" t="str">
        <x:v>Rules of Thumb: 71 Authors Reveal Their Fiction Writing Fixations</x:v>
      </x:c>
      <x:c r="E35" s="16" t="str"/>
      <x:c r="F35" s="18" t="n">
        <x:v>2006</x:v>
      </x:c>
      <x:c r="G35" s="18" t="n">
        <x:v>2006</x:v>
      </x:c>
      <x:c r="H35" s="16" t="str">
        <x:v>First edition</x:v>
      </x:c>
      <x:c r="I35" s="16" t="str">
        <x:v>Writer's Digest Books</x:v>
      </x:c>
      <x:c r="J35" s="20" t="str">
        <x:v>9781582973913</x:v>
      </x:c>
      <x:c r="K35" s="20" t="str">
        <x:v>1582973911</x:v>
      </x:c>
      <x:c r="L35" s="16" t="str">
        <x:v>English</x:v>
      </x:c>
      <x:c r="M35" s="16" t="str">
        <x:v>Original</x:v>
      </x:c>
      <x:c r="N35" s="16" t="str"/>
      <x:c r="O35" s="16" t="str">
        <x:v>Craft anthology</x:v>
      </x:c>
      <x:c r="P35" s="16" t="str">
        <x:v>Tier 2</x:v>
      </x:c>
      <x:c r="Q35" s="16" t="str">
        <x:v>Medium</x:v>
      </x:c>
      <x:c r="R35" s="16" t="str">
        <x:v>Many concise craft positions; useful for discourse diversity</x:v>
      </x:c>
      <x:c r="S35" s="16" t="str">
        <x:v>Licensed/library copy likely needed; full-text availability not yet checked</x:v>
      </x:c>
      <x:c r="T35" s="16" t="str">
        <x:v>DNB/HeBIS/Frankfurt holdings not yet systematically checked</x:v>
      </x:c>
      <x:c r="U35" s="20" t="str"/>
      <x:c r="V35" s="20" t="str"/>
      <x:c r="W35" s="16" t="str">
        <x:v>Likely copyrighted; research TDM requires lawful access and applicable §60d UrhG conditions</x:v>
      </x:c>
      <x:c r="X35" s="16" t="str">
        <x:v>https://www.publishersweekly.com/9781582973913</x:v>
      </x:c>
      <x:c r="Y35" s="16" t="str"/>
      <x:c r="Z35" s="16" t="str">
        <x:v>https://portal.dnb.de/opac.htm?method=simpleSearch&amp;query=Rules+of+Thumb%3A+71+Authors+Reveal+Their+Fiction+Writing+Fixations</x:v>
      </x:c>
      <x:c r="AA35" s="16" t="str">
        <x:v>Verified</x:v>
      </x:c>
      <x:c r="AB35" s="16" t="str">
        <x:v>Corrected from the earlier provisional wording '73 Authors'; bibliographic title is 71 Authors.</x:v>
      </x:c>
      <x:c r="AC35" s="16" t="str">
        <x:f>IF(AA35&lt;&gt;"Verified","Verify metadata",IF(P35="Tier 1","Acquire/check full text",IF(P35="Tier 2","Check holdings / acquire if feasible","Review later")))</x:f>
        <x:v>Check holdings / acquire if feasible</x:v>
      </x:c>
    </x:row>
    <x:row r="36">
      <x:c r="A36" s="16" t="str">
        <x:v>EN-035</x:v>
      </x:c>
      <x:c r="B36" s="16" t="str">
        <x:v>English</x:v>
      </x:c>
      <x:c r="C36" s="16" t="str">
        <x:v>Robert Olmstead</x:v>
      </x:c>
      <x:c r="D36" s="16" t="str">
        <x:v>Elements of the Writing Craft</x:v>
      </x:c>
      <x:c r="E36" s="16" t="str"/>
      <x:c r="F36" s="18" t="n">
        <x:v>1997</x:v>
      </x:c>
      <x:c r="G36" s="18" t="n">
        <x:v>1997</x:v>
      </x:c>
      <x:c r="H36" s="16" t="str">
        <x:v>First edition</x:v>
      </x:c>
      <x:c r="I36" s="16" t="str">
        <x:v>Story Press</x:v>
      </x:c>
      <x:c r="J36" s="20" t="str">
        <x:v>9781884910296</x:v>
      </x:c>
      <x:c r="K36" s="20" t="str">
        <x:v>1884910297</x:v>
      </x:c>
      <x:c r="L36" s="16" t="str">
        <x:v>English</x:v>
      </x:c>
      <x:c r="M36" s="16" t="str">
        <x:v>Original</x:v>
      </x:c>
      <x:c r="N36" s="16" t="str"/>
      <x:c r="O36" s="16" t="str">
        <x:v>General writing craft</x:v>
      </x:c>
      <x:c r="P36" s="16" t="str">
        <x:v>Tier 2</x:v>
      </x:c>
      <x:c r="Q36" s="16" t="str">
        <x:v>Medium</x:v>
      </x:c>
      <x:c r="R36" s="16" t="str">
        <x:v>General craft manual</x:v>
      </x:c>
      <x:c r="S36" s="16" t="str">
        <x:v>Licensed/library copy likely needed; full-text availability not yet checked</x:v>
      </x:c>
      <x:c r="T36" s="16" t="str">
        <x:v>DNB/HeBIS/Frankfurt holdings not yet systematically checked</x:v>
      </x:c>
      <x:c r="U36" s="20" t="str"/>
      <x:c r="V36" s="20" t="str"/>
      <x:c r="W36" s="16" t="str">
        <x:v>Likely copyrighted; research TDM requires lawful access and applicable §60d UrhG conditions</x:v>
      </x:c>
      <x:c r="X36" s="16" t="str">
        <x:v>https://www.books-by-isbn.com/authors/robert/olmstead/</x:v>
      </x:c>
      <x:c r="Y36" s="16" t="str"/>
      <x:c r="Z36" s="16" t="str">
        <x:v>https://portal.dnb.de/opac.htm?method=simpleSearch&amp;query=Elements+of+the+Writing+Craft</x:v>
      </x:c>
      <x:c r="AA36" s="16" t="str">
        <x:v>Verified</x:v>
      </x:c>
      <x:c r="AB36" s="16" t="str"/>
      <x:c r="AC36" s="16" t="str">
        <x:f>IF(AA36&lt;&gt;"Verified","Verify metadata",IF(P36="Tier 1","Acquire/check full text",IF(P36="Tier 2","Check holdings / acquire if feasible","Review later")))</x:f>
        <x:v>Check holdings / acquire if feasible</x:v>
      </x:c>
    </x:row>
    <x:row r="37">
      <x:c r="A37" s="16" t="str">
        <x:v>EN-036</x:v>
      </x:c>
      <x:c r="B37" s="16" t="str">
        <x:v>English</x:v>
      </x:c>
      <x:c r="C37" s="16" t="str">
        <x:v>John Gardner</x:v>
      </x:c>
      <x:c r="D37" s="16" t="str">
        <x:v>On Becoming a Novelist</x:v>
      </x:c>
      <x:c r="E37" s="16" t="str"/>
      <x:c r="F37" s="18" t="n">
        <x:v>1983</x:v>
      </x:c>
      <x:c r="G37" s="18" t="n">
        <x:v>1999</x:v>
      </x:c>
      <x:c r="H37" s="16" t="str">
        <x:v>Norton edition</x:v>
      </x:c>
      <x:c r="I37" s="16" t="str">
        <x:v>W. W. Norton</x:v>
      </x:c>
      <x:c r="J37" s="20" t="str">
        <x:v>9780393320039</x:v>
      </x:c>
      <x:c r="K37" s="20" t="str">
        <x:v>0393320030</x:v>
      </x:c>
      <x:c r="L37" s="16" t="str">
        <x:v>English</x:v>
      </x:c>
      <x:c r="M37" s="16" t="str">
        <x:v>Original</x:v>
      </x:c>
      <x:c r="N37" s="16" t="str"/>
      <x:c r="O37" s="16" t="str">
        <x:v>Writing process/craft</x:v>
      </x:c>
      <x:c r="P37" s="16" t="str">
        <x:v>Tier 2</x:v>
      </x:c>
      <x:c r="Q37" s="16" t="str">
        <x:v>Medium</x:v>
      </x:c>
      <x:c r="R37" s="16" t="str">
        <x:v>Craft and novelist practice; indirect POV relevance</x:v>
      </x:c>
      <x:c r="S37" s="16" t="str">
        <x:v>Licensed/library copy likely needed; full-text availability not yet checked</x:v>
      </x:c>
      <x:c r="T37" s="16" t="str">
        <x:v>DNB/HeBIS/Frankfurt holdings not yet systematically checked</x:v>
      </x:c>
      <x:c r="U37" s="20" t="str"/>
      <x:c r="V37" s="20" t="str">
        <x:v>8976110</x:v>
      </x:c>
      <x:c r="W37" s="16" t="str">
        <x:v>Likely copyrighted; research TDM requires lawful access and applicable §60d UrhG conditions</x:v>
      </x:c>
      <x:c r="X37" s="16" t="str">
        <x:v>https://openlibrary.org/books/OL3507282M/On_becoming_a_novelist</x:v>
      </x:c>
      <x:c r="Y37" s="16" t="str"/>
      <x:c r="Z37" s="16" t="str">
        <x:v>https://portal.dnb.de/opac.htm?method=simpleSearch&amp;query=On+Becoming+a+Novelist</x:v>
      </x:c>
      <x:c r="AA37" s="16" t="str">
        <x:v>Verified</x:v>
      </x:c>
      <x:c r="AB37" s="16" t="str"/>
      <x:c r="AC37" s="16" t="str">
        <x:f>IF(AA37&lt;&gt;"Verified","Verify metadata",IF(P37="Tier 1","Acquire/check full text",IF(P37="Tier 2","Check holdings / acquire if feasible","Review later")))</x:f>
        <x:v>Check holdings / acquire if feasible</x:v>
      </x:c>
    </x:row>
    <x:row r="38">
      <x:c r="A38" s="16" t="str">
        <x:v>EN-037</x:v>
      </x:c>
      <x:c r="B38" s="16" t="str">
        <x:v>English</x:v>
      </x:c>
      <x:c r="C38" s="16" t="str">
        <x:v>Dorothea Brande</x:v>
      </x:c>
      <x:c r="D38" s="16" t="str">
        <x:v>Becoming a Writer</x:v>
      </x:c>
      <x:c r="E38" s="16" t="str"/>
      <x:c r="F38" s="18" t="n">
        <x:v>1934</x:v>
      </x:c>
      <x:c r="G38" s="18" t="n">
        <x:v>1981</x:v>
      </x:c>
      <x:c r="H38" s="16" t="str">
        <x:v>Tarcher edition</x:v>
      </x:c>
      <x:c r="I38" s="16" t="str">
        <x:v>Jeremy P. Tarcher</x:v>
      </x:c>
      <x:c r="J38" s="20" t="str">
        <x:v>9780874771640</x:v>
      </x:c>
      <x:c r="K38" s="20" t="str">
        <x:v>0874771641</x:v>
      </x:c>
      <x:c r="L38" s="16" t="str">
        <x:v>English</x:v>
      </x:c>
      <x:c r="M38" s="16" t="str">
        <x:v>Original</x:v>
      </x:c>
      <x:c r="N38" s="16" t="str"/>
      <x:c r="O38" s="16" t="str">
        <x:v>Writing process</x:v>
      </x:c>
      <x:c r="P38" s="16" t="str">
        <x:v>Tier 3</x:v>
      </x:c>
      <x:c r="Q38" s="16" t="str">
        <x:v>Low</x:v>
      </x:c>
      <x:c r="R38" s="16" t="str">
        <x:v>Primarily writer process/psychology; useful negative/control text</x:v>
      </x:c>
      <x:c r="S38" s="16" t="str">
        <x:v>Licensed/library copy likely needed; full-text availability not yet checked</x:v>
      </x:c>
      <x:c r="T38" s="16" t="str">
        <x:v>DNB/HeBIS/Frankfurt holdings not yet systematically checked</x:v>
      </x:c>
      <x:c r="U38" s="20" t="str"/>
      <x:c r="V38" s="20" t="str"/>
      <x:c r="W38" s="16" t="str">
        <x:v>Likely copyrighted; research TDM requires lawful access and applicable §60d UrhG conditions</x:v>
      </x:c>
      <x:c r="X38" s="16" t="str">
        <x:v>https://books.google.com/books/about/Becoming_a_Writer.html?id=r_oNuXGcxlQC</x:v>
      </x:c>
      <x:c r="Y38" s="16" t="str"/>
      <x:c r="Z38" s="16" t="str">
        <x:v>https://portal.dnb.de/opac.htm?method=simpleSearch&amp;query=Becoming+a+Writer</x:v>
      </x:c>
      <x:c r="AA38" s="16" t="str">
        <x:v>Verified</x:v>
      </x:c>
      <x:c r="AB38" s="16" t="str"/>
      <x:c r="AC38" s="16" t="str">
        <x:f>IF(AA38&lt;&gt;"Verified","Verify metadata",IF(P38="Tier 1","Acquire/check full text",IF(P38="Tier 2","Check holdings / acquire if feasible","Review later")))</x:f>
        <x:v>Review later</x:v>
      </x:c>
    </x:row>
    <x:row r="39">
      <x:c r="A39" s="16" t="str">
        <x:v>EN-038</x:v>
      </x:c>
      <x:c r="B39" s="16" t="str">
        <x:v>English</x:v>
      </x:c>
      <x:c r="C39" s="16" t="str">
        <x:v>Sol Stein</x:v>
      </x:c>
      <x:c r="D39" s="16" t="str">
        <x:v>Stein on Writing</x:v>
      </x:c>
      <x:c r="E39" s="16" t="str"/>
      <x:c r="F39" s="18" t="n">
        <x:v>1995</x:v>
      </x:c>
      <x:c r="G39" s="18" t="n">
        <x:v>1995</x:v>
      </x:c>
      <x:c r="H39" s="16" t="str">
        <x:v>First edition</x:v>
      </x:c>
      <x:c r="I39" s="16" t="str">
        <x:v>St. Martin's Press</x:v>
      </x:c>
      <x:c r="J39" s="20" t="str">
        <x:v>9780312136086</x:v>
      </x:c>
      <x:c r="K39" s="20" t="str">
        <x:v>0312136080</x:v>
      </x:c>
      <x:c r="L39" s="16" t="str">
        <x:v>English</x:v>
      </x:c>
      <x:c r="M39" s="16" t="str">
        <x:v>Original</x:v>
      </x:c>
      <x:c r="N39" s="16" t="str"/>
      <x:c r="O39" s="16" t="str">
        <x:v>General fiction/nonfiction craft</x:v>
      </x:c>
      <x:c r="P39" s="16" t="str">
        <x:v>Tier 1</x:v>
      </x:c>
      <x:c r="Q39" s="16" t="str">
        <x:v>High</x:v>
      </x:c>
      <x:c r="R39" s="16" t="str">
        <x:v>Strong narrative craft manual; likely sustained viewpoint discussion</x:v>
      </x:c>
      <x:c r="S39" s="16" t="str">
        <x:v>Licensed/library copy likely needed; full-text availability not yet checked</x:v>
      </x:c>
      <x:c r="T39" s="16" t="str">
        <x:v>DNB/HeBIS/Frankfurt holdings not yet systematically checked</x:v>
      </x:c>
      <x:c r="U39" s="20" t="str"/>
      <x:c r="V39" s="20" t="str"/>
      <x:c r="W39" s="16" t="str">
        <x:v>Likely copyrighted; research TDM requires lawful access and applicable §60d UrhG conditions</x:v>
      </x:c>
      <x:c r="X39" s="16" t="str">
        <x:v>https://books.google.com/books/about/Stein_On_Writing.html?id=8_DHygv2A4kC</x:v>
      </x:c>
      <x:c r="Y39" s="16" t="str"/>
      <x:c r="Z39" s="16" t="str">
        <x:v>https://portal.dnb.de/opac.htm?method=simpleSearch&amp;query=Stein+on+Writing</x:v>
      </x:c>
      <x:c r="AA39" s="16" t="str">
        <x:v>Verified</x:v>
      </x:c>
      <x:c r="AB39" s="16" t="str"/>
      <x:c r="AC39" s="16" t="str">
        <x:f>IF(AA39&lt;&gt;"Verified","Verify metadata",IF(P39="Tier 1","Acquire/check full text",IF(P39="Tier 2","Check holdings / acquire if feasible","Review later")))</x:f>
        <x:v>Acquire/check full text</x:v>
      </x:c>
    </x:row>
    <x:row r="40">
      <x:c r="A40" s="16" t="str">
        <x:v>EN-039</x:v>
      </x:c>
      <x:c r="B40" s="16" t="str">
        <x:v>English</x:v>
      </x:c>
      <x:c r="C40" s="16" t="str">
        <x:v>Sol Stein</x:v>
      </x:c>
      <x:c r="D40" s="16" t="str">
        <x:v>How to Grow a Novel</x:v>
      </x:c>
      <x:c r="E40" s="16" t="str"/>
      <x:c r="F40" s="18" t="n">
        <x:v>1999</x:v>
      </x:c>
      <x:c r="G40" s="18" t="n">
        <x:v>1999</x:v>
      </x:c>
      <x:c r="H40" s="16" t="str">
        <x:v>First edition</x:v>
      </x:c>
      <x:c r="I40" s="16" t="str">
        <x:v>St. Martin's Press</x:v>
      </x:c>
      <x:c r="J40" s="20" t="str">
        <x:v>9780312209490</x:v>
      </x:c>
      <x:c r="K40" s="20" t="str">
        <x:v>0312209495</x:v>
      </x:c>
      <x:c r="L40" s="16" t="str">
        <x:v>English</x:v>
      </x:c>
      <x:c r="M40" s="16" t="str">
        <x:v>Original</x:v>
      </x:c>
      <x:c r="N40" s="16" t="str"/>
      <x:c r="O40" s="16" t="str">
        <x:v>Novel craft</x:v>
      </x:c>
      <x:c r="P40" s="16" t="str">
        <x:v>Tier 1</x:v>
      </x:c>
      <x:c r="Q40" s="16" t="str">
        <x:v>High</x:v>
      </x:c>
      <x:c r="R40" s="16" t="str">
        <x:v>Novel construction; likely perspective and narrator treatment</x:v>
      </x:c>
      <x:c r="S40" s="16" t="str">
        <x:v>Licensed/library copy likely needed; full-text availability not yet checked</x:v>
      </x:c>
      <x:c r="T40" s="16" t="str">
        <x:v>DNB/HeBIS/Frankfurt holdings not yet systematically checked</x:v>
      </x:c>
      <x:c r="U40" s="20" t="str"/>
      <x:c r="V40" s="20" t="str"/>
      <x:c r="W40" s="16" t="str">
        <x:v>Likely copyrighted; research TDM requires lawful access and applicable §60d UrhG conditions</x:v>
      </x:c>
      <x:c r="X40" s="16" t="str">
        <x:v>https://library.clamsnet.org/Record/106339</x:v>
      </x:c>
      <x:c r="Y40" s="16" t="str"/>
      <x:c r="Z40" s="16" t="str">
        <x:v>https://portal.dnb.de/opac.htm?method=simpleSearch&amp;query=How+to+Grow+a+Novel</x:v>
      </x:c>
      <x:c r="AA40" s="16" t="str">
        <x:v>Verified</x:v>
      </x:c>
      <x:c r="AB40" s="16" t="str"/>
      <x:c r="AC40" s="16" t="str">
        <x:f>IF(AA40&lt;&gt;"Verified","Verify metadata",IF(P40="Tier 1","Acquire/check full text",IF(P40="Tier 2","Check holdings / acquire if feasible","Review later")))</x:f>
        <x:v>Acquire/check full text</x:v>
      </x:c>
    </x:row>
    <x:row r="41">
      <x:c r="A41" s="16" t="str">
        <x:v>EN-040</x:v>
      </x:c>
      <x:c r="B41" s="16" t="str">
        <x:v>English</x:v>
      </x:c>
      <x:c r="C41" s="16" t="str">
        <x:v>Stephen King</x:v>
      </x:c>
      <x:c r="D41" s="16" t="str">
        <x:v>On Writing: A Memoir of the Craft</x:v>
      </x:c>
      <x:c r="E41" s="16" t="str"/>
      <x:c r="F41" s="18" t="n">
        <x:v>2000</x:v>
      </x:c>
      <x:c r="G41" s="18" t="n">
        <x:v>2000</x:v>
      </x:c>
      <x:c r="H41" s="16" t="str">
        <x:v>First edition</x:v>
      </x:c>
      <x:c r="I41" s="16" t="str">
        <x:v>Scribner</x:v>
      </x:c>
      <x:c r="J41" s="20" t="str">
        <x:v>9780684853529</x:v>
      </x:c>
      <x:c r="K41" s="20" t="str">
        <x:v>0684853523</x:v>
      </x:c>
      <x:c r="L41" s="16" t="str">
        <x:v>English</x:v>
      </x:c>
      <x:c r="M41" s="16" t="str">
        <x:v>Original</x:v>
      </x:c>
      <x:c r="N41" s="16" t="str"/>
      <x:c r="O41" s="16" t="str">
        <x:v>Memoir + writing craft</x:v>
      </x:c>
      <x:c r="P41" s="16" t="str">
        <x:v>Tier 2</x:v>
      </x:c>
      <x:c r="Q41" s="16" t="str">
        <x:v>Medium</x:v>
      </x:c>
      <x:c r="R41" s="16" t="str">
        <x:v>Substantial craft component but not POV-centered</x:v>
      </x:c>
      <x:c r="S41" s="16" t="str">
        <x:v>Licensed/library copy likely needed; full-text availability not yet checked</x:v>
      </x:c>
      <x:c r="T41" s="16" t="str">
        <x:v>DNB/HeBIS/Frankfurt holdings not yet systematically checked</x:v>
      </x:c>
      <x:c r="U41" s="20" t="str"/>
      <x:c r="V41" s="20" t="str"/>
      <x:c r="W41" s="16" t="str">
        <x:v>Likely copyrighted; research TDM requires lawful access and applicable §60d UrhG conditions</x:v>
      </x:c>
      <x:c r="X41" s="16" t="str">
        <x:v>https://stephenking.com/works/nonfiction/on-writing-a-memoir-of-the-craft.html</x:v>
      </x:c>
      <x:c r="Y41" s="16" t="str"/>
      <x:c r="Z41" s="16" t="str">
        <x:v>https://portal.dnb.de/opac.htm?method=simpleSearch&amp;query=On+Writing%3A+A+Memoir+of+the+Craft</x:v>
      </x:c>
      <x:c r="AA41" s="16" t="str">
        <x:v>Verified</x:v>
      </x:c>
      <x:c r="AB41" s="16" t="str"/>
      <x:c r="AC41" s="16" t="str">
        <x:f>IF(AA41&lt;&gt;"Verified","Verify metadata",IF(P41="Tier 1","Acquire/check full text",IF(P41="Tier 2","Check holdings / acquire if feasible","Review later")))</x:f>
        <x:v>Check holdings / acquire if feasible</x:v>
      </x:c>
    </x:row>
    <x:row r="42">
      <x:c r="A42" s="16" t="str">
        <x:v>EN-041</x:v>
      </x:c>
      <x:c r="B42" s="16" t="str">
        <x:v>English</x:v>
      </x:c>
      <x:c r="C42" s="16" t="str">
        <x:v>Anne Lamott</x:v>
      </x:c>
      <x:c r="D42" s="16" t="str">
        <x:v>Bird by Bird: Some Instructions on Writing and Life</x:v>
      </x:c>
      <x:c r="E42" s="16" t="str"/>
      <x:c r="F42" s="18" t="n">
        <x:v>1994</x:v>
      </x:c>
      <x:c r="G42" s="18" t="n">
        <x:v>1995</x:v>
      </x:c>
      <x:c r="H42" s="16" t="str">
        <x:v>Anchor paperback</x:v>
      </x:c>
      <x:c r="I42" s="16" t="str">
        <x:v>Anchor Books</x:v>
      </x:c>
      <x:c r="J42" s="20" t="str">
        <x:v>9780385480017</x:v>
      </x:c>
      <x:c r="K42" s="20" t="str">
        <x:v>0385480016</x:v>
      </x:c>
      <x:c r="L42" s="16" t="str">
        <x:v>English</x:v>
      </x:c>
      <x:c r="M42" s="16" t="str">
        <x:v>Original</x:v>
      </x:c>
      <x:c r="N42" s="16" t="str"/>
      <x:c r="O42" s="16" t="str">
        <x:v>Writing process/craft</x:v>
      </x:c>
      <x:c r="P42" s="16" t="str">
        <x:v>Tier 3</x:v>
      </x:c>
      <x:c r="Q42" s="16" t="str">
        <x:v>Low</x:v>
      </x:c>
      <x:c r="R42" s="16" t="str">
        <x:v>Writer process and craft; useful comparison text</x:v>
      </x:c>
      <x:c r="S42" s="16" t="str">
        <x:v>Licensed/library copy likely needed; full-text availability not yet checked</x:v>
      </x:c>
      <x:c r="T42" s="16" t="str">
        <x:v>DNB/HeBIS/Frankfurt holdings not yet systematically checked</x:v>
      </x:c>
      <x:c r="U42" s="20" t="str"/>
      <x:c r="V42" s="20" t="str"/>
      <x:c r="W42" s="16" t="str">
        <x:v>Likely copyrighted; research TDM requires lawful access and applicable §60d UrhG conditions</x:v>
      </x:c>
      <x:c r="X42" s="16" t="str">
        <x:v>https://books.google.com/books/about/Bird_by_Bird.html?id=O7OePwAACAAJ</x:v>
      </x:c>
      <x:c r="Y42" s="16" t="str"/>
      <x:c r="Z42" s="16" t="str">
        <x:v>https://portal.dnb.de/opac.htm?method=simpleSearch&amp;query=Bird+by+Bird%3A+Some+Instructions+on+Writing+and+Life</x:v>
      </x:c>
      <x:c r="AA42" s="16" t="str">
        <x:v>Verified</x:v>
      </x:c>
      <x:c r="AB42" s="16" t="str"/>
      <x:c r="AC42" s="16" t="str">
        <x:f>IF(AA42&lt;&gt;"Verified","Verify metadata",IF(P42="Tier 1","Acquire/check full text",IF(P42="Tier 2","Check holdings / acquire if feasible","Review later")))</x:f>
        <x:v>Review later</x:v>
      </x:c>
    </x:row>
    <x:row r="43">
      <x:c r="A43" s="16" t="str">
        <x:v>EN-042</x:v>
      </x:c>
      <x:c r="B43" s="16" t="str">
        <x:v>English</x:v>
      </x:c>
      <x:c r="C43" s="16" t="str">
        <x:v>Elizabeth George</x:v>
      </x:c>
      <x:c r="D43" s="16" t="str">
        <x:v>Write Away: One Novelist's Approach to Fiction and the Writing Life</x:v>
      </x:c>
      <x:c r="E43" s="16" t="str"/>
      <x:c r="F43" s="18" t="n">
        <x:v>2004</x:v>
      </x:c>
      <x:c r="G43" s="18" t="n">
        <x:v>2004</x:v>
      </x:c>
      <x:c r="H43" s="16" t="str">
        <x:v>First edition</x:v>
      </x:c>
      <x:c r="I43" s="16" t="str">
        <x:v>HarperCollins</x:v>
      </x:c>
      <x:c r="J43" s="20" t="str">
        <x:v>9780060560423</x:v>
      </x:c>
      <x:c r="K43" s="20" t="str">
        <x:v>0060560428</x:v>
      </x:c>
      <x:c r="L43" s="16" t="str">
        <x:v>English</x:v>
      </x:c>
      <x:c r="M43" s="16" t="str">
        <x:v>Original</x:v>
      </x:c>
      <x:c r="N43" s="16" t="str"/>
      <x:c r="O43" s="16" t="str">
        <x:v>Novel craft</x:v>
      </x:c>
      <x:c r="P43" s="16" t="str">
        <x:v>Tier 1</x:v>
      </x:c>
      <x:c r="Q43" s="16" t="str">
        <x:v>High</x:v>
      </x:c>
      <x:c r="R43" s="16" t="str">
        <x:v>Detailed novelist craft; perspective likely substantive</x:v>
      </x:c>
      <x:c r="S43" s="16" t="str">
        <x:v>Licensed/library copy likely needed; full-text availability not yet checked</x:v>
      </x:c>
      <x:c r="T43" s="16" t="str">
        <x:v>DNB/HeBIS/Frankfurt holdings not yet systematically checked</x:v>
      </x:c>
      <x:c r="U43" s="20" t="str"/>
      <x:c r="V43" s="20" t="str"/>
      <x:c r="W43" s="16" t="str">
        <x:v>Likely copyrighted; research TDM requires lawful access and applicable §60d UrhG conditions</x:v>
      </x:c>
      <x:c r="X43" s="16" t="str">
        <x:v>https://books.google.com/books?id=fn1_b7s86PwC</x:v>
      </x:c>
      <x:c r="Y43" s="16" t="str"/>
      <x:c r="Z43" s="16" t="str">
        <x:v>https://portal.dnb.de/opac.htm?method=simpleSearch&amp;query=Write+Away%3A+One+Novelist%27s+Approach+to+Fiction+and+the+Writing+Life</x:v>
      </x:c>
      <x:c r="AA43" s="16" t="str">
        <x:v>Verified</x:v>
      </x:c>
      <x:c r="AB43" s="16" t="str"/>
      <x:c r="AC43" s="16" t="str">
        <x:f>IF(AA43&lt;&gt;"Verified","Verify metadata",IF(P43="Tier 1","Acquire/check full text",IF(P43="Tier 2","Check holdings / acquire if feasible","Review later")))</x:f>
        <x:v>Acquire/check full text</x:v>
      </x:c>
    </x:row>
    <x:row r="44">
      <x:c r="A44" s="16" t="str">
        <x:v>EN-043</x:v>
      </x:c>
      <x:c r="B44" s="16" t="str">
        <x:v>English</x:v>
      </x:c>
      <x:c r="C44" s="16" t="str">
        <x:v>James N. Frey</x:v>
      </x:c>
      <x:c r="D44" s="16" t="str">
        <x:v>How to Write a Damn Good Novel</x:v>
      </x:c>
      <x:c r="E44" s="16" t="str"/>
      <x:c r="F44" s="18" t="n">
        <x:v>1987</x:v>
      </x:c>
      <x:c r="G44" s="18" t="n">
        <x:v>1987</x:v>
      </x:c>
      <x:c r="H44" s="16" t="str">
        <x:v>First edition</x:v>
      </x:c>
      <x:c r="I44" s="16" t="str">
        <x:v>St. Martin's Press</x:v>
      </x:c>
      <x:c r="J44" s="20" t="str">
        <x:v>9780312010447</x:v>
      </x:c>
      <x:c r="K44" s="20" t="str">
        <x:v>0312010443</x:v>
      </x:c>
      <x:c r="L44" s="16" t="str">
        <x:v>English</x:v>
      </x:c>
      <x:c r="M44" s="16" t="str">
        <x:v>Original</x:v>
      </x:c>
      <x:c r="N44" s="16" t="str"/>
      <x:c r="O44" s="16" t="str">
        <x:v>Novel craft</x:v>
      </x:c>
      <x:c r="P44" s="16" t="str">
        <x:v>Tier 1</x:v>
      </x:c>
      <x:c r="Q44" s="16" t="str">
        <x:v>High</x:v>
      </x:c>
      <x:c r="R44" s="16" t="str">
        <x:v>General novel craft with narrator/perspective implications</x:v>
      </x:c>
      <x:c r="S44" s="16" t="str">
        <x:v>Licensed/library copy likely needed; full-text availability not yet checked</x:v>
      </x:c>
      <x:c r="T44" s="16" t="str">
        <x:v>DNB/HeBIS/Frankfurt holdings not yet systematically checked</x:v>
      </x:c>
      <x:c r="U44" s="20" t="str"/>
      <x:c r="V44" s="20" t="str"/>
      <x:c r="W44" s="16" t="str">
        <x:v>Likely copyrighted; research TDM requires lawful access and applicable §60d UrhG conditions</x:v>
      </x:c>
      <x:c r="X44" s="16" t="str">
        <x:v>https://books.google.com/books/about/How_to_Write_a_Damn_Good_Novel.html?id=M2LVQXnSV_AC</x:v>
      </x:c>
      <x:c r="Y44" s="16" t="str"/>
      <x:c r="Z44" s="16" t="str">
        <x:v>https://portal.dnb.de/opac.htm?method=simpleSearch&amp;query=How+to+Write+a+Damn+Good+Novel</x:v>
      </x:c>
      <x:c r="AA44" s="16" t="str">
        <x:v>Verified</x:v>
      </x:c>
      <x:c r="AB44" s="16" t="str"/>
      <x:c r="AC44" s="16" t="str">
        <x:f>IF(AA44&lt;&gt;"Verified","Verify metadata",IF(P44="Tier 1","Acquire/check full text",IF(P44="Tier 2","Check holdings / acquire if feasible","Review later")))</x:f>
        <x:v>Acquire/check full text</x:v>
      </x:c>
    </x:row>
    <x:row r="45">
      <x:c r="A45" s="16" t="str">
        <x:v>EN-044</x:v>
      </x:c>
      <x:c r="B45" s="16" t="str">
        <x:v>English</x:v>
      </x:c>
      <x:c r="C45" s="16" t="str">
        <x:v>Robert Olen Butler</x:v>
      </x:c>
      <x:c r="D45" s="16" t="str">
        <x:v>From Where You Dream: The Process of Writing Fiction</x:v>
      </x:c>
      <x:c r="E45" s="16" t="str"/>
      <x:c r="F45" s="18" t="n">
        <x:v>2005</x:v>
      </x:c>
      <x:c r="G45" s="18" t="n">
        <x:v>2005</x:v>
      </x:c>
      <x:c r="H45" s="16" t="str">
        <x:v>First edition</x:v>
      </x:c>
      <x:c r="I45" s="16" t="str">
        <x:v>Grove Press</x:v>
      </x:c>
      <x:c r="J45" s="20" t="str">
        <x:v>9780802117953</x:v>
      </x:c>
      <x:c r="K45" s="20" t="str">
        <x:v>0802117953</x:v>
      </x:c>
      <x:c r="L45" s="16" t="str">
        <x:v>English</x:v>
      </x:c>
      <x:c r="M45" s="16" t="str">
        <x:v>Original</x:v>
      </x:c>
      <x:c r="N45" s="16" t="str"/>
      <x:c r="O45" s="16" t="str">
        <x:v>Fiction process/craft</x:v>
      </x:c>
      <x:c r="P45" s="16" t="str">
        <x:v>Tier 2</x:v>
      </x:c>
      <x:c r="Q45" s="16" t="str">
        <x:v>Medium</x:v>
      </x:c>
      <x:c r="R45" s="16" t="str">
        <x:v>Narrative consciousness and process; useful semantic-context source</x:v>
      </x:c>
      <x:c r="S45" s="16" t="str">
        <x:v>Licensed/library copy likely needed; full-text availability not yet checked</x:v>
      </x:c>
      <x:c r="T45" s="16" t="str">
        <x:v>DNB/HeBIS/Frankfurt holdings not yet systematically checked</x:v>
      </x:c>
      <x:c r="U45" s="20" t="str"/>
      <x:c r="V45" s="20" t="str"/>
      <x:c r="W45" s="16" t="str">
        <x:v>Likely copyrighted; research TDM requires lawful access and applicable §60d UrhG conditions</x:v>
      </x:c>
      <x:c r="X45" s="16" t="str">
        <x:v>https://groveatlantic.com/book/from-where-you-dream/</x:v>
      </x:c>
      <x:c r="Y45" s="16" t="str"/>
      <x:c r="Z45" s="16" t="str">
        <x:v>https://portal.dnb.de/opac.htm?method=simpleSearch&amp;query=From+Where+You+Dream%3A+The+Process+of+Writing+Fiction</x:v>
      </x:c>
      <x:c r="AA45" s="16" t="str">
        <x:v>Verified</x:v>
      </x:c>
      <x:c r="AB45" s="16" t="str"/>
      <x:c r="AC45" s="16" t="str">
        <x:f>IF(AA45&lt;&gt;"Verified","Verify metadata",IF(P45="Tier 1","Acquire/check full text",IF(P45="Tier 2","Check holdings / acquire if feasible","Review later")))</x:f>
        <x:v>Check holdings / acquire if feasible</x:v>
      </x:c>
    </x:row>
    <x:row r="46">
      <x:c r="A46" s="16" t="str">
        <x:v>EN-045</x:v>
      </x:c>
      <x:c r="B46" s="16" t="str">
        <x:v>English</x:v>
      </x:c>
      <x:c r="C46" s="16" t="str">
        <x:v>Charles Baxter</x:v>
      </x:c>
      <x:c r="D46" s="16" t="str">
        <x:v>Burning Down the House: Essays on Fiction</x:v>
      </x:c>
      <x:c r="E46" s="16" t="str"/>
      <x:c r="F46" s="18" t="n">
        <x:v>1997</x:v>
      </x:c>
      <x:c r="G46" s="18" t="n">
        <x:v>2008</x:v>
      </x:c>
      <x:c r="H46" s="16" t="str">
        <x:v>Graywolf paperback edition</x:v>
      </x:c>
      <x:c r="I46" s="16" t="str">
        <x:v>Graywolf Press</x:v>
      </x:c>
      <x:c r="J46" s="20" t="str">
        <x:v>9781555975081</x:v>
      </x:c>
      <x:c r="K46" s="20" t="str">
        <x:v>155597508X</x:v>
      </x:c>
      <x:c r="L46" s="16" t="str">
        <x:v>English</x:v>
      </x:c>
      <x:c r="M46" s="16" t="str">
        <x:v>Original</x:v>
      </x:c>
      <x:c r="N46" s="16" t="str"/>
      <x:c r="O46" s="16" t="str">
        <x:v>Craft essays</x:v>
      </x:c>
      <x:c r="P46" s="16" t="str">
        <x:v>Tier 2</x:v>
      </x:c>
      <x:c r="Q46" s="16" t="str">
        <x:v>Medium</x:v>
      </x:c>
      <x:c r="R46" s="16" t="str">
        <x:v>Narrative technique essays; possible POV discourse</x:v>
      </x:c>
      <x:c r="S46" s="16" t="str">
        <x:v>Licensed/library copy likely needed; full-text availability not yet checked</x:v>
      </x:c>
      <x:c r="T46" s="16" t="str">
        <x:v>DNB/HeBIS/Frankfurt holdings not yet systematically checked</x:v>
      </x:c>
      <x:c r="U46" s="20" t="str"/>
      <x:c r="V46" s="20" t="str"/>
      <x:c r="W46" s="16" t="str">
        <x:v>Likely copyrighted; research TDM requires lawful access and applicable §60d UrhG conditions</x:v>
      </x:c>
      <x:c r="X46" s="16" t="str">
        <x:v>https://books.google.com/books?id=SjNuPgAACAAJ</x:v>
      </x:c>
      <x:c r="Y46" s="16" t="str"/>
      <x:c r="Z46" s="16" t="str">
        <x:v>https://portal.dnb.de/opac.htm?method=simpleSearch&amp;query=Burning+Down+the+House%3A+Essays+on+Fiction</x:v>
      </x:c>
      <x:c r="AA46" s="16" t="str">
        <x:v>Verified</x:v>
      </x:c>
      <x:c r="AB46" s="16" t="str"/>
      <x:c r="AC46" s="16" t="str">
        <x:f>IF(AA46&lt;&gt;"Verified","Verify metadata",IF(P46="Tier 1","Acquire/check full text",IF(P46="Tier 2","Check holdings / acquire if feasible","Review later")))</x:f>
        <x:v>Check holdings / acquire if feasible</x:v>
      </x:c>
    </x:row>
    <x:row r="47">
      <x:c r="A47" s="16" t="str">
        <x:v>EN-046</x:v>
      </x:c>
      <x:c r="B47" s="16" t="str">
        <x:v>English</x:v>
      </x:c>
      <x:c r="C47" s="16" t="str">
        <x:v>Charles Baxter</x:v>
      </x:c>
      <x:c r="D47" s="16" t="str">
        <x:v>The Art of Subtext: Beyond Plot</x:v>
      </x:c>
      <x:c r="E47" s="16" t="str"/>
      <x:c r="F47" s="18" t="n">
        <x:v>2007</x:v>
      </x:c>
      <x:c r="G47" s="18" t="n">
        <x:v>2007</x:v>
      </x:c>
      <x:c r="H47" s="16" t="str">
        <x:v>First edition</x:v>
      </x:c>
      <x:c r="I47" s="16" t="str">
        <x:v>Graywolf Press</x:v>
      </x:c>
      <x:c r="J47" s="20" t="str">
        <x:v>9781555974732</x:v>
      </x:c>
      <x:c r="K47" s="20" t="str">
        <x:v>1555974733</x:v>
      </x:c>
      <x:c r="L47" s="16" t="str">
        <x:v>English</x:v>
      </x:c>
      <x:c r="M47" s="16" t="str">
        <x:v>Original</x:v>
      </x:c>
      <x:c r="N47" s="16" t="str"/>
      <x:c r="O47" s="16" t="str">
        <x:v>Craft essays</x:v>
      </x:c>
      <x:c r="P47" s="16" t="str">
        <x:v>Tier 2</x:v>
      </x:c>
      <x:c r="Q47" s="16" t="str">
        <x:v>Medium</x:v>
      </x:c>
      <x:c r="R47" s="16" t="str">
        <x:v>Narrative implication, dialogue and perspective-adjacent analysis</x:v>
      </x:c>
      <x:c r="S47" s="16" t="str">
        <x:v>Licensed/library copy likely needed; full-text availability not yet checked</x:v>
      </x:c>
      <x:c r="T47" s="16" t="str">
        <x:v>DNB/HeBIS/Frankfurt holdings not yet systematically checked</x:v>
      </x:c>
      <x:c r="U47" s="20" t="str"/>
      <x:c r="V47" s="20" t="str"/>
      <x:c r="W47" s="16" t="str">
        <x:v>Likely copyrighted; research TDM requires lawful access and applicable §60d UrhG conditions</x:v>
      </x:c>
      <x:c r="X47" s="16" t="str">
        <x:v>https://books.google.com/books/about/The_Art_of_Subtext.html?id=MwllAAAAMAAJ</x:v>
      </x:c>
      <x:c r="Y47" s="16" t="str"/>
      <x:c r="Z47" s="16" t="str">
        <x:v>https://portal.dnb.de/opac.htm?method=simpleSearch&amp;query=The+Art+of+Subtext%3A+Beyond+Plot</x:v>
      </x:c>
      <x:c r="AA47" s="16" t="str">
        <x:v>Verified</x:v>
      </x:c>
      <x:c r="AB47" s="16" t="str"/>
      <x:c r="AC47" s="16" t="str">
        <x:f>IF(AA47&lt;&gt;"Verified","Verify metadata",IF(P47="Tier 1","Acquire/check full text",IF(P47="Tier 2","Check holdings / acquire if feasible","Review later")))</x:f>
        <x:v>Check holdings / acquire if feasible</x:v>
      </x:c>
    </x:row>
    <x:row r="48">
      <x:c r="A48" s="16" t="str">
        <x:v>EN-047</x:v>
      </x:c>
      <x:c r="B48" s="16" t="str">
        <x:v>English</x:v>
      </x:c>
      <x:c r="C48" s="16" t="str">
        <x:v>Renni Browne; Dave King</x:v>
      </x:c>
      <x:c r="D48" s="16" t="str">
        <x:v>Self-Editing for Fiction Writers</x:v>
      </x:c>
      <x:c r="E48" s="16" t="str"/>
      <x:c r="F48" s="18" t="n">
        <x:v>1993</x:v>
      </x:c>
      <x:c r="G48" s="18" t="n">
        <x:v>2004</x:v>
      </x:c>
      <x:c r="H48" s="16" t="str">
        <x:v>2nd revised edition</x:v>
      </x:c>
      <x:c r="I48" s="16" t="str">
        <x:v>HarperResource</x:v>
      </x:c>
      <x:c r="J48" s="20" t="str">
        <x:v>9780060545697</x:v>
      </x:c>
      <x:c r="K48" s="20" t="str">
        <x:v>0060545690</x:v>
      </x:c>
      <x:c r="L48" s="16" t="str">
        <x:v>English</x:v>
      </x:c>
      <x:c r="M48" s="16" t="str">
        <x:v>Original</x:v>
      </x:c>
      <x:c r="N48" s="16" t="str"/>
      <x:c r="O48" s="16" t="str">
        <x:v>Self-editing fiction</x:v>
      </x:c>
      <x:c r="P48" s="16" t="str">
        <x:v>Tier 1</x:v>
      </x:c>
      <x:c r="Q48" s="16" t="str">
        <x:v>High</x:v>
      </x:c>
      <x:c r="R48" s="16" t="str">
        <x:v>Includes point-of-view, interior monologue and narrative-distance editing</x:v>
      </x:c>
      <x:c r="S48" s="16" t="str">
        <x:v>Licensed/library copy likely needed; full-text availability not yet checked</x:v>
      </x:c>
      <x:c r="T48" s="16" t="str">
        <x:v>DNB/HeBIS/Frankfurt holdings not yet systematically checked</x:v>
      </x:c>
      <x:c r="U48" s="20" t="str"/>
      <x:c r="V48" s="20" t="str"/>
      <x:c r="W48" s="16" t="str">
        <x:v>Likely copyrighted; research TDM requires lawful access and applicable §60d UrhG conditions</x:v>
      </x:c>
      <x:c r="X48" s="16" t="str">
        <x:v>https://books.google.com/books/about/Self_Editing_for_Fiction_Writers.html?id=mJgkAAAAMAAJ</x:v>
      </x:c>
      <x:c r="Y48" s="16" t="str"/>
      <x:c r="Z48" s="16" t="str">
        <x:v>https://portal.dnb.de/opac.htm?method=simpleSearch&amp;query=Self-Editing+for+Fiction+Writers</x:v>
      </x:c>
      <x:c r="AA48" s="16" t="str">
        <x:v>Verified</x:v>
      </x:c>
      <x:c r="AB48" s="16" t="str"/>
      <x:c r="AC48" s="16" t="str">
        <x:f>IF(AA48&lt;&gt;"Verified","Verify metadata",IF(P48="Tier 1","Acquire/check full text",IF(P48="Tier 2","Check holdings / acquire if feasible","Review later")))</x:f>
        <x:v>Acquire/check full text</x:v>
      </x:c>
    </x:row>
    <x:row r="49">
      <x:c r="A49" s="16" t="str">
        <x:v>EN-048</x:v>
      </x:c>
      <x:c r="B49" s="16" t="str">
        <x:v>English</x:v>
      </x:c>
      <x:c r="C49" s="16" t="str">
        <x:v>Janet Burroway</x:v>
      </x:c>
      <x:c r="D49" s="16" t="str">
        <x:v>Imaginative Writing: The Elements of Craft</x:v>
      </x:c>
      <x:c r="E49" s="16" t="str"/>
      <x:c r="F49" s="18" t="n">
        <x:v>2003</x:v>
      </x:c>
      <x:c r="G49" s="18" t="n">
        <x:v>2003</x:v>
      </x:c>
      <x:c r="H49" s="16" t="str">
        <x:v>First edition</x:v>
      </x:c>
      <x:c r="I49" s="16" t="str">
        <x:v>Longman</x:v>
      </x:c>
      <x:c r="J49" s="20" t="str">
        <x:v>9780321081919</x:v>
      </x:c>
      <x:c r="K49" s="20" t="str">
        <x:v>0321081919</x:v>
      </x:c>
      <x:c r="L49" s="16" t="str">
        <x:v>English</x:v>
      </x:c>
      <x:c r="M49" s="16" t="str">
        <x:v>Original</x:v>
      </x:c>
      <x:c r="N49" s="16" t="str"/>
      <x:c r="O49" s="16" t="str">
        <x:v>General creative writing</x:v>
      </x:c>
      <x:c r="P49" s="16" t="str">
        <x:v>Tier 2</x:v>
      </x:c>
      <x:c r="Q49" s="16" t="str">
        <x:v>Medium</x:v>
      </x:c>
      <x:c r="R49" s="16" t="str">
        <x:v>Broad craft textbook with fiction-specific perspective content</x:v>
      </x:c>
      <x:c r="S49" s="16" t="str">
        <x:v>Licensed/library copy likely needed; full-text availability not yet checked</x:v>
      </x:c>
      <x:c r="T49" s="16" t="str">
        <x:v>DNB/HeBIS/Frankfurt holdings not yet systematically checked</x:v>
      </x:c>
      <x:c r="U49" s="20" t="str"/>
      <x:c r="V49" s="20" t="str"/>
      <x:c r="W49" s="16" t="str">
        <x:v>Likely copyrighted; research TDM requires lawful access and applicable §60d UrhG conditions</x:v>
      </x:c>
      <x:c r="X49" s="16" t="str">
        <x:v>https://books.google.com/books/about/Imaginative_Writing.html?id=t-ABAAAACAAJ</x:v>
      </x:c>
      <x:c r="Y49" s="16" t="str"/>
      <x:c r="Z49" s="16" t="str">
        <x:v>https://portal.dnb.de/opac.htm?method=simpleSearch&amp;query=Imaginative+Writing%3A+The+Elements+of+Craft</x:v>
      </x:c>
      <x:c r="AA49" s="16" t="str">
        <x:v>Verified</x:v>
      </x:c>
      <x:c r="AB49" s="16" t="str"/>
      <x:c r="AC49" s="16" t="str">
        <x:f>IF(AA49&lt;&gt;"Verified","Verify metadata",IF(P49="Tier 1","Acquire/check full text",IF(P49="Tier 2","Check holdings / acquire if feasible","Review later")))</x:f>
        <x:v>Check holdings / acquire if feasible</x:v>
      </x:c>
    </x:row>
    <x:row r="50">
      <x:c r="A50" s="16" t="str">
        <x:v>EN-049</x:v>
      </x:c>
      <x:c r="B50" s="16" t="str">
        <x:v>English</x:v>
      </x:c>
      <x:c r="C50" s="16" t="str">
        <x:v>Julia Bell; Paul Magrs, eds.</x:v>
      </x:c>
      <x:c r="D50" s="16" t="str">
        <x:v>The Creative Writing Coursebook</x:v>
      </x:c>
      <x:c r="E50" s="16" t="str"/>
      <x:c r="F50" s="18" t="n">
        <x:v>2001</x:v>
      </x:c>
      <x:c r="G50" s="18" t="n">
        <x:v>2001</x:v>
      </x:c>
      <x:c r="H50" s="16" t="str">
        <x:v>First edition</x:v>
      </x:c>
      <x:c r="I50" s="16" t="str">
        <x:v>Macmillan</x:v>
      </x:c>
      <x:c r="J50" s="20" t="str">
        <x:v>9780333782255</x:v>
      </x:c>
      <x:c r="K50" s="20" t="str">
        <x:v>0333782259</x:v>
      </x:c>
      <x:c r="L50" s="16" t="str">
        <x:v>English</x:v>
      </x:c>
      <x:c r="M50" s="16" t="str">
        <x:v>Original</x:v>
      </x:c>
      <x:c r="N50" s="16" t="str"/>
      <x:c r="O50" s="16" t="str">
        <x:v>General creative writing</x:v>
      </x:c>
      <x:c r="P50" s="16" t="str">
        <x:v>Tier 2</x:v>
      </x:c>
      <x:c r="Q50" s="16" t="str">
        <x:v>Medium</x:v>
      </x:c>
      <x:c r="R50" s="16" t="str">
        <x:v>Multi-genre coursebook; likely fiction POV sections</x:v>
      </x:c>
      <x:c r="S50" s="16" t="str">
        <x:v>Licensed/library copy likely needed; full-text availability not yet checked</x:v>
      </x:c>
      <x:c r="T50" s="16" t="str">
        <x:v>DNB/HeBIS/Frankfurt holdings not yet systematically checked</x:v>
      </x:c>
      <x:c r="U50" s="20" t="str"/>
      <x:c r="V50" s="20" t="str"/>
      <x:c r="W50" s="16" t="str">
        <x:v>Likely copyrighted; research TDM requires lawful access and applicable §60d UrhG conditions</x:v>
      </x:c>
      <x:c r="X50" s="16" t="str">
        <x:v>https://books.google.com/books/about/The_Creative_Writing_Coursebook.html?id=X75PRqs5l_MC</x:v>
      </x:c>
      <x:c r="Y50" s="16" t="str"/>
      <x:c r="Z50" s="16" t="str">
        <x:v>https://portal.dnb.de/opac.htm?method=simpleSearch&amp;query=The+Creative+Writing+Coursebook</x:v>
      </x:c>
      <x:c r="AA50" s="16" t="str">
        <x:v>Verified</x:v>
      </x:c>
      <x:c r="AB50" s="16" t="str"/>
      <x:c r="AC50" s="16" t="str">
        <x:f>IF(AA50&lt;&gt;"Verified","Verify metadata",IF(P50="Tier 1","Acquire/check full text",IF(P50="Tier 2","Check holdings / acquire if feasible","Review later")))</x:f>
        <x:v>Check holdings / acquire if feasible</x:v>
      </x:c>
    </x:row>
    <x:row r="51">
      <x:c r="A51" s="16" t="str">
        <x:v>EN-050</x:v>
      </x:c>
      <x:c r="B51" s="16" t="str">
        <x:v>English</x:v>
      </x:c>
      <x:c r="C51" s="16" t="str">
        <x:v>David Morley</x:v>
      </x:c>
      <x:c r="D51" s="16" t="str">
        <x:v>The Cambridge Introduction to Creative Writing</x:v>
      </x:c>
      <x:c r="E51" s="16" t="str"/>
      <x:c r="F51" s="18" t="n">
        <x:v>2007</x:v>
      </x:c>
      <x:c r="G51" s="18" t="n">
        <x:v>2007</x:v>
      </x:c>
      <x:c r="H51" s="16" t="str">
        <x:v>First edition</x:v>
      </x:c>
      <x:c r="I51" s="16" t="str">
        <x:v>Cambridge University Press</x:v>
      </x:c>
      <x:c r="J51" s="20" t="str">
        <x:v>9780521547543</x:v>
      </x:c>
      <x:c r="K51" s="20" t="str">
        <x:v>0521547547</x:v>
      </x:c>
      <x:c r="L51" s="16" t="str">
        <x:v>English</x:v>
      </x:c>
      <x:c r="M51" s="16" t="str">
        <x:v>Original</x:v>
      </x:c>
      <x:c r="N51" s="16" t="str"/>
      <x:c r="O51" s="16" t="str">
        <x:v>General creative writing</x:v>
      </x:c>
      <x:c r="P51" s="16" t="str">
        <x:v>Tier 2</x:v>
      </x:c>
      <x:c r="Q51" s="16" t="str">
        <x:v>Medium</x:v>
      </x:c>
      <x:c r="R51" s="16" t="str">
        <x:v>Academic creative-writing introduction with narrative craft coverage</x:v>
      </x:c>
      <x:c r="S51" s="16" t="str">
        <x:v>Licensed/library copy likely needed; full-text availability not yet checked</x:v>
      </x:c>
      <x:c r="T51" s="16" t="str">
        <x:v>DNB/HeBIS/Frankfurt holdings not yet systematically checked</x:v>
      </x:c>
      <x:c r="U51" s="20" t="str"/>
      <x:c r="V51" s="20" t="str"/>
      <x:c r="W51" s="16" t="str">
        <x:v>Likely copyrighted; research TDM requires lawful access and applicable §60d UrhG conditions</x:v>
      </x:c>
      <x:c r="X51" s="16" t="str">
        <x:v>https://www.cambridge.org/core/books/cambridge-introduction-to-creative-writing/20FAA7D2EEB07A8ABA2A5934EB0EDE4A</x:v>
      </x:c>
      <x:c r="Y51" s="16" t="str"/>
      <x:c r="Z51" s="16" t="str">
        <x:v>https://portal.dnb.de/opac.htm?method=simpleSearch&amp;query=The+Cambridge+Introduction+to+Creative+Writing</x:v>
      </x:c>
      <x:c r="AA51" s="16" t="str">
        <x:v>Verified</x:v>
      </x:c>
      <x:c r="AB51" s="16" t="str"/>
      <x:c r="AC51" s="16" t="str">
        <x:f>IF(AA51&lt;&gt;"Verified","Verify metadata",IF(P51="Tier 1","Acquire/check full text",IF(P51="Tier 2","Check holdings / acquire if feasible","Review later")))</x:f>
        <x:v>Check holdings / acquire if feasible</x:v>
      </x:c>
    </x:row>
    <x:row r="52">
      <x:c r="A52" s="16" t="str">
        <x:v>DE-001</x:v>
      </x:c>
      <x:c r="B52" s="16" t="str">
        <x:v>German</x:v>
      </x:c>
      <x:c r="C52" s="16" t="str">
        <x:v>Fritz Gesing</x:v>
      </x:c>
      <x:c r="D52" s="16" t="str">
        <x:v>Kreativ schreiben: Handwerk und Techniken des Erzählens</x:v>
      </x:c>
      <x:c r="E52" s="16" t="str"/>
      <x:c r="F52" s="18" t="n">
        <x:v>1994</x:v>
      </x:c>
      <x:c r="G52" s="18" t="n">
        <x:v>2014</x:v>
      </x:c>
      <x:c r="H52" s="16" t="str">
        <x:v>Revised/new edition</x:v>
      </x:c>
      <x:c r="I52" s="16" t="str">
        <x:v>DuMont</x:v>
      </x:c>
      <x:c r="J52" s="20" t="str">
        <x:v>9783832162672</x:v>
      </x:c>
      <x:c r="K52" s="20" t="str">
        <x:v>3832162674</x:v>
      </x:c>
      <x:c r="L52" s="16" t="str">
        <x:v>German</x:v>
      </x:c>
      <x:c r="M52" s="16" t="str">
        <x:v>Original</x:v>
      </x:c>
      <x:c r="N52" s="16" t="str"/>
      <x:c r="O52" s="16" t="str">
        <x:v>General fiction craft</x:v>
      </x:c>
      <x:c r="P52" s="16" t="str">
        <x:v>Tier 1</x:v>
      </x:c>
      <x:c r="Q52" s="16" t="str">
        <x:v>High</x:v>
      </x:c>
      <x:c r="R52" s="16" t="str">
        <x:v>Core German fiction-writing manual; narrative perspective is central craft vocabulary</x:v>
      </x:c>
      <x:c r="S52" s="16" t="str">
        <x:v>Licensed/library copy likely needed; full-text availability not yet checked</x:v>
      </x:c>
      <x:c r="T52" s="16" t="str">
        <x:v>DNB/HeBIS/Frankfurt holdings not yet systematically checked</x:v>
      </x:c>
      <x:c r="U52" s="20" t="str"/>
      <x:c r="V52" s="20" t="str"/>
      <x:c r="W52" s="16" t="str">
        <x:v>Likely copyrighted; research TDM requires lawful access and applicable §60d UrhG conditions</x:v>
      </x:c>
      <x:c r="X52" s="16" t="str">
        <x:v>https://books.google.com/books?id=mSA1nwEACAAJ</x:v>
      </x:c>
      <x:c r="Y52" s="16" t="str"/>
      <x:c r="Z52" s="16" t="str">
        <x:v>https://portal.dnb.de/opac.htm?method=simpleSearch&amp;query=Kreativ+schreiben%3A+Handwerk+und+Techniken+des+Erz%C3%A4hlens</x:v>
      </x:c>
      <x:c r="AA52" s="16" t="str">
        <x:v>Verified</x:v>
      </x:c>
      <x:c r="AB52" s="16" t="str"/>
      <x:c r="AC52" s="16" t="str">
        <x:f>IF(AA52&lt;&gt;"Verified","Verify metadata",IF(P52="Tier 1","Acquire/check full text",IF(P52="Tier 2","Check holdings / acquire if feasible","Review later")))</x:f>
        <x:v>Acquire/check full text</x:v>
      </x:c>
    </x:row>
    <x:row r="53">
      <x:c r="A53" s="16" t="str">
        <x:v>DE-002</x:v>
      </x:c>
      <x:c r="B53" s="16" t="str">
        <x:v>German</x:v>
      </x:c>
      <x:c r="C53" s="16" t="str">
        <x:v>Fritz Gesing</x:v>
      </x:c>
      <x:c r="D53" s="16" t="str">
        <x:v>Kreativ schreiben für Fortgeschrittene: Geheimnisse des Erfolgs</x:v>
      </x:c>
      <x:c r="E53" s="16" t="str"/>
      <x:c r="F53" s="18" t="n">
        <x:v>2006</x:v>
      </x:c>
      <x:c r="G53" s="18" t="n">
        <x:v>2006</x:v>
      </x:c>
      <x:c r="H53" s="16" t="str">
        <x:v>First edition</x:v>
      </x:c>
      <x:c r="I53" s="16" t="str">
        <x:v>DuMont</x:v>
      </x:c>
      <x:c r="J53" s="20" t="str">
        <x:v>9783832179304</x:v>
      </x:c>
      <x:c r="K53" s="20" t="str">
        <x:v>3832179305</x:v>
      </x:c>
      <x:c r="L53" s="16" t="str">
        <x:v>German</x:v>
      </x:c>
      <x:c r="M53" s="16" t="str">
        <x:v>Original</x:v>
      </x:c>
      <x:c r="N53" s="16" t="str"/>
      <x:c r="O53" s="16" t="str">
        <x:v>Advanced fiction craft</x:v>
      </x:c>
      <x:c r="P53" s="16" t="str">
        <x:v>Tier 1</x:v>
      </x:c>
      <x:c r="Q53" s="16" t="str">
        <x:v>High</x:v>
      </x:c>
      <x:c r="R53" s="16" t="str">
        <x:v>Advanced narrative craft; likely substantive POV treatment</x:v>
      </x:c>
      <x:c r="S53" s="16" t="str">
        <x:v>Licensed/library copy likely needed; full-text availability not yet checked</x:v>
      </x:c>
      <x:c r="T53" s="16" t="str">
        <x:v>DNB/HeBIS/Frankfurt holdings not yet systematically checked</x:v>
      </x:c>
      <x:c r="U53" s="20" t="str"/>
      <x:c r="V53" s="20" t="str"/>
      <x:c r="W53" s="16" t="str">
        <x:v>Likely copyrighted; research TDM requires lawful access and applicable §60d UrhG conditions</x:v>
      </x:c>
      <x:c r="X53" s="16" t="str">
        <x:v>https://de.wikipedia.org/wiki/Fritz_Gesing</x:v>
      </x:c>
      <x:c r="Y53" s="16" t="str"/>
      <x:c r="Z53" s="16" t="str">
        <x:v>https://portal.dnb.de/opac.htm?method=simpleSearch&amp;query=Kreativ+schreiben+f%C3%BCr+Fortgeschrittene%3A+Geheimnisse+des+Erfolgs</x:v>
      </x:c>
      <x:c r="AA53" s="16" t="str">
        <x:v>Partial</x:v>
      </x:c>
      <x:c r="AB53" s="16" t="str"/>
      <x:c r="AC53" s="16" t="str">
        <x:f>IF(AA53&lt;&gt;"Verified","Verify metadata",IF(P53="Tier 1","Acquire/check full text",IF(P53="Tier 2","Check holdings / acquire if feasible","Review later")))</x:f>
        <x:v>Verify metadata</x:v>
      </x:c>
    </x:row>
    <x:row r="54">
      <x:c r="A54" s="16" t="str">
        <x:v>DE-003</x:v>
      </x:c>
      <x:c r="B54" s="16" t="str">
        <x:v>German</x:v>
      </x:c>
      <x:c r="C54" s="16" t="str">
        <x:v>Lutz von Werder</x:v>
      </x:c>
      <x:c r="D54" s="16" t="str">
        <x:v>Einführung in das kreative Schreiben</x:v>
      </x:c>
      <x:c r="E54" s="16" t="str"/>
      <x:c r="F54" s="18" t="n">
        <x:v>1996</x:v>
      </x:c>
      <x:c r="G54" s="18" t="n">
        <x:v>1996</x:v>
      </x:c>
      <x:c r="H54" s="16" t="str">
        <x:v>First edition</x:v>
      </x:c>
      <x:c r="I54" s="16" t="str">
        <x:v>Schibri</x:v>
      </x:c>
      <x:c r="J54" s="20" t="str">
        <x:v>9783928878449</x:v>
      </x:c>
      <x:c r="K54" s="20" t="str">
        <x:v>3928878441</x:v>
      </x:c>
      <x:c r="L54" s="16" t="str">
        <x:v>German</x:v>
      </x:c>
      <x:c r="M54" s="16" t="str">
        <x:v>Original</x:v>
      </x:c>
      <x:c r="N54" s="16" t="str"/>
      <x:c r="O54" s="16" t="str">
        <x:v>General creative writing</x:v>
      </x:c>
      <x:c r="P54" s="16" t="str">
        <x:v>Tier 2</x:v>
      </x:c>
      <x:c r="Q54" s="16" t="str">
        <x:v>Medium</x:v>
      </x:c>
      <x:c r="R54" s="16" t="str">
        <x:v>Foundational German creative-writing text; broader than fiction</x:v>
      </x:c>
      <x:c r="S54" s="16" t="str">
        <x:v>Licensed/library copy likely needed; full-text availability not yet checked</x:v>
      </x:c>
      <x:c r="T54" s="16" t="str">
        <x:v>DNB/HeBIS/Frankfurt holdings not yet systematically checked</x:v>
      </x:c>
      <x:c r="U54" s="20" t="str"/>
      <x:c r="V54" s="20" t="str"/>
      <x:c r="W54" s="16" t="str">
        <x:v>Likely copyrighted; research TDM requires lawful access and applicable §60d UrhG conditions</x:v>
      </x:c>
      <x:c r="X54" s="16" t="str">
        <x:v>https://jewiki.net/wiki/Kreatives_Schreiben</x:v>
      </x:c>
      <x:c r="Y54" s="16" t="str"/>
      <x:c r="Z54" s="16" t="str">
        <x:v>https://portal.dnb.de/opac.htm?method=simpleSearch&amp;query=Einf%C3%BChrung+in+das+kreative+Schreiben</x:v>
      </x:c>
      <x:c r="AA54" s="16" t="str">
        <x:v>Partial</x:v>
      </x:c>
      <x:c r="AB54" s="16" t="str"/>
      <x:c r="AC54" s="16" t="str">
        <x:f>IF(AA54&lt;&gt;"Verified","Verify metadata",IF(P54="Tier 1","Acquire/check full text",IF(P54="Tier 2","Check holdings / acquire if feasible","Review later")))</x:f>
        <x:v>Verify metadata</x:v>
      </x:c>
    </x:row>
    <x:row r="55">
      <x:c r="A55" s="16" t="str">
        <x:v>DE-004</x:v>
      </x:c>
      <x:c r="B55" s="16" t="str">
        <x:v>German</x:v>
      </x:c>
      <x:c r="C55" s="16" t="str">
        <x:v>Lutz von Werder</x:v>
      </x:c>
      <x:c r="D55" s="16" t="str">
        <x:v>Lehrbuch des Kreativen Schreibens</x:v>
      </x:c>
      <x:c r="E55" s="16" t="str"/>
      <x:c r="F55" s="18" t="n">
        <x:v>2001</x:v>
      </x:c>
      <x:c r="G55" s="18" t="n">
        <x:v>2007</x:v>
      </x:c>
      <x:c r="H55" s="16" t="str">
        <x:v>Marix edition</x:v>
      </x:c>
      <x:c r="I55" s="16" t="str">
        <x:v>Marix Verlag</x:v>
      </x:c>
      <x:c r="J55" s="20" t="str">
        <x:v>9783865391483</x:v>
      </x:c>
      <x:c r="K55" s="20" t="str">
        <x:v>3865391486</x:v>
      </x:c>
      <x:c r="L55" s="16" t="str">
        <x:v>German</x:v>
      </x:c>
      <x:c r="M55" s="16" t="str">
        <x:v>Original</x:v>
      </x:c>
      <x:c r="N55" s="16" t="str"/>
      <x:c r="O55" s="16" t="str">
        <x:v>General creative writing</x:v>
      </x:c>
      <x:c r="P55" s="16" t="str">
        <x:v>Tier 2</x:v>
      </x:c>
      <x:c r="Q55" s="16" t="str">
        <x:v>Medium</x:v>
      </x:c>
      <x:c r="R55" s="16" t="str">
        <x:v>Broad writing textbook; useful historical German terminology</x:v>
      </x:c>
      <x:c r="S55" s="16" t="str">
        <x:v>Licensed/library copy likely needed; full-text availability not yet checked</x:v>
      </x:c>
      <x:c r="T55" s="16" t="str">
        <x:v>Frankfurt Stadtbücherei catalog record located; DNB/Goethe UB holdings still to verify</x:v>
      </x:c>
      <x:c r="U55" s="20" t="str"/>
      <x:c r="V55" s="20" t="str"/>
      <x:c r="W55" s="16" t="str">
        <x:v>Likely copyrighted; research TDM requires lawful access and applicable §60d UrhG conditions</x:v>
      </x:c>
      <x:c r="X55" s="16" t="str">
        <x:v>https://www.deutsche-digitale-bibliothek.de/item/DJX5PTF6LB6H2ZL44DRWZ7DBSKQAQCHW</x:v>
      </x:c>
      <x:c r="Y55" s="16" t="str">
        <x:v>https://katalog.stadtbuecherei.frankfurt.de/Mediensuche/Einfache-Suche?detail=1&amp;searchhash=OCLC_99fe8b5d0226280aef1467813aeb2cc91b50648d&amp;top=y</x:v>
      </x:c>
      <x:c r="Z55" s="16" t="str">
        <x:v>https://portal.dnb.de/opac.htm?method=simpleSearch&amp;query=Lehrbuch+des+Kreativen+Schreibens</x:v>
      </x:c>
      <x:c r="AA55" s="16" t="str">
        <x:v>Verified</x:v>
      </x:c>
      <x:c r="AB55" s="16" t="str"/>
      <x:c r="AC55" s="16" t="str">
        <x:f>IF(AA55&lt;&gt;"Verified","Verify metadata",IF(P55="Tier 1","Acquire/check full text",IF(P55="Tier 2","Check holdings / acquire if feasible","Review later")))</x:f>
        <x:v>Check holdings / acquire if feasible</x:v>
      </x:c>
    </x:row>
    <x:row r="56">
      <x:c r="A56" s="16" t="str">
        <x:v>DE-005</x:v>
      </x:c>
      <x:c r="B56" s="16" t="str">
        <x:v>German</x:v>
      </x:c>
      <x:c r="C56" s="16" t="str">
        <x:v>Sibylle Knauss</x:v>
      </x:c>
      <x:c r="D56" s="16" t="str">
        <x:v>Schule des Erzählens: Ein Leitfaden für Roman- und Drehbuchautoren</x:v>
      </x:c>
      <x:c r="E56" s="16" t="str"/>
      <x:c r="F56" s="18" t="n">
        <x:v>2006</x:v>
      </x:c>
      <x:c r="G56" s="18" t="n">
        <x:v>2006</x:v>
      </x:c>
      <x:c r="H56" s="16" t="str">
        <x:v>First edition</x:v>
      </x:c>
      <x:c r="I56" s="16" t="str">
        <x:v>Autorenhaus Verlag</x:v>
      </x:c>
      <x:c r="J56" s="20" t="str">
        <x:v>9783866710115</x:v>
      </x:c>
      <x:c r="K56" s="20" t="str">
        <x:v>3866710119</x:v>
      </x:c>
      <x:c r="L56" s="16" t="str">
        <x:v>German</x:v>
      </x:c>
      <x:c r="M56" s="16" t="str">
        <x:v>Original</x:v>
      </x:c>
      <x:c r="N56" s="16" t="str"/>
      <x:c r="O56" s="16" t="str">
        <x:v>General fiction craft</x:v>
      </x:c>
      <x:c r="P56" s="16" t="str">
        <x:v>Tier 1</x:v>
      </x:c>
      <x:c r="Q56" s="16" t="str">
        <x:v>High</x:v>
      </x:c>
      <x:c r="R56" s="16" t="str">
        <x:v>Explicit teaching of narrative technique</x:v>
      </x:c>
      <x:c r="S56" s="16" t="str">
        <x:v>Licensed/library copy likely needed; full-text availability not yet checked</x:v>
      </x:c>
      <x:c r="T56" s="16" t="str">
        <x:v>DNB/HeBIS/Frankfurt holdings not yet systematically checked</x:v>
      </x:c>
      <x:c r="U56" s="20" t="str"/>
      <x:c r="V56" s="20" t="str"/>
      <x:c r="W56" s="16" t="str">
        <x:v>Likely copyrighted; research TDM requires lawful access and applicable §60d UrhG conditions</x:v>
      </x:c>
      <x:c r="X56" s="16" t="str">
        <x:v>https://www.sibylle-knauss.de/schule-des-erzaehlens.html</x:v>
      </x:c>
      <x:c r="Y56" s="16" t="str"/>
      <x:c r="Z56" s="16" t="str">
        <x:v>https://portal.dnb.de/opac.htm?method=simpleSearch&amp;query=Schule+des+Erz%C3%A4hlens%3A+Ein+Leitfaden+f%C3%BCr+Roman-+und+Drehbuchautoren</x:v>
      </x:c>
      <x:c r="AA56" s="16" t="str">
        <x:v>Verified</x:v>
      </x:c>
      <x:c r="AB56" s="16" t="str"/>
      <x:c r="AC56" s="16" t="str">
        <x:f>IF(AA56&lt;&gt;"Verified","Verify metadata",IF(P56="Tier 1","Acquire/check full text",IF(P56="Tier 2","Check holdings / acquire if feasible","Review later")))</x:f>
        <x:v>Acquire/check full text</x:v>
      </x:c>
    </x:row>
    <x:row r="57">
      <x:c r="A57" s="16" t="str">
        <x:v>DE-006</x:v>
      </x:c>
      <x:c r="B57" s="16" t="str">
        <x:v>German</x:v>
      </x:c>
      <x:c r="C57" s="16" t="str">
        <x:v>Jesse Falzoi</x:v>
      </x:c>
      <x:c r="D57" s="16" t="str">
        <x:v>Creative Writing: Texte und Bücher schreiben</x:v>
      </x:c>
      <x:c r="E57" s="16" t="str"/>
      <x:c r="F57" s="18" t="n">
        <x:v>2017</x:v>
      </x:c>
      <x:c r="G57" s="18" t="n">
        <x:v>2017</x:v>
      </x:c>
      <x:c r="H57" s="16" t="str">
        <x:v>First edition</x:v>
      </x:c>
      <x:c r="I57" s="16" t="str">
        <x:v>Autorenhaus Verlag</x:v>
      </x:c>
      <x:c r="J57" s="20" t="str">
        <x:v>9783866711419</x:v>
      </x:c>
      <x:c r="K57" s="20" t="str">
        <x:v>3866711417</x:v>
      </x:c>
      <x:c r="L57" s="16" t="str">
        <x:v>German</x:v>
      </x:c>
      <x:c r="M57" s="16" t="str">
        <x:v>Original</x:v>
      </x:c>
      <x:c r="N57" s="16" t="str"/>
      <x:c r="O57" s="16" t="str">
        <x:v>General creative writing</x:v>
      </x:c>
      <x:c r="P57" s="16" t="str">
        <x:v>Tier 1</x:v>
      </x:c>
      <x:c r="Q57" s="16" t="str">
        <x:v>High</x:v>
      </x:c>
      <x:c r="R57" s="16" t="str">
        <x:v>Publisher description explicitly includes narrative-perspective variety</x:v>
      </x:c>
      <x:c r="S57" s="16" t="str">
        <x:v>Licensed/library copy likely needed; full-text availability not yet checked</x:v>
      </x:c>
      <x:c r="T57" s="16" t="str">
        <x:v>DNB/HeBIS/Frankfurt holdings not yet systematically checked</x:v>
      </x:c>
      <x:c r="U57" s="20" t="str"/>
      <x:c r="V57" s="20" t="str"/>
      <x:c r="W57" s="16" t="str">
        <x:v>Likely copyrighted; research TDM requires lawful access and applicable §60d UrhG conditions</x:v>
      </x:c>
      <x:c r="X57" s="16" t="str">
        <x:v>https://autorenhaus.de/collections/alle-bucher/products/creative-writing</x:v>
      </x:c>
      <x:c r="Y57" s="16" t="str"/>
      <x:c r="Z57" s="16" t="str">
        <x:v>https://portal.dnb.de/opac.htm?method=simpleSearch&amp;query=Creative+Writing%3A+Texte+und+B%C3%BCcher+schreiben</x:v>
      </x:c>
      <x:c r="AA57" s="16" t="str">
        <x:v>Verified</x:v>
      </x:c>
      <x:c r="AB57" s="16" t="str"/>
      <x:c r="AC57" s="16" t="str">
        <x:f>IF(AA57&lt;&gt;"Verified","Verify metadata",IF(P57="Tier 1","Acquire/check full text",IF(P57="Tier 2","Check holdings / acquire if feasible","Review later")))</x:f>
        <x:v>Acquire/check full text</x:v>
      </x:c>
    </x:row>
    <x:row r="58">
      <x:c r="A58" s="16" t="str">
        <x:v>DE-007</x:v>
      </x:c>
      <x:c r="B58" s="16" t="str">
        <x:v>German</x:v>
      </x:c>
      <x:c r="C58" s="16" t="str">
        <x:v>Otto Kruse</x:v>
      </x:c>
      <x:c r="D58" s="16" t="str">
        <x:v>Storytelling: Kunst und Technik des Erzählens</x:v>
      </x:c>
      <x:c r="E58" s="16" t="str"/>
      <x:c r="F58" s="18"/>
      <x:c r="G58" s="18" t="n">
        <x:v>2020</x:v>
      </x:c>
      <x:c r="H58" s="16" t="str">
        <x:v>Revised edition</x:v>
      </x:c>
      <x:c r="I58" s="16" t="str">
        <x:v>Autorenhaus Verlag</x:v>
      </x:c>
      <x:c r="J58" s="20" t="str">
        <x:v>9783866711587</x:v>
      </x:c>
      <x:c r="K58" s="20" t="str">
        <x:v>3866711581</x:v>
      </x:c>
      <x:c r="L58" s="16" t="str">
        <x:v>German</x:v>
      </x:c>
      <x:c r="M58" s="16" t="str">
        <x:v>Original</x:v>
      </x:c>
      <x:c r="N58" s="16" t="str"/>
      <x:c r="O58" s="16" t="str">
        <x:v>Storytelling/narrative craft</x:v>
      </x:c>
      <x:c r="P58" s="16" t="str">
        <x:v>Tier 1</x:v>
      </x:c>
      <x:c r="Q58" s="16" t="str">
        <x:v>High</x:v>
      </x:c>
      <x:c r="R58" s="16" t="str">
        <x:v>Narrative technique and storyteller perspective</x:v>
      </x:c>
      <x:c r="S58" s="16" t="str">
        <x:v>Licensed/library copy likely needed; full-text availability not yet checked</x:v>
      </x:c>
      <x:c r="T58" s="16" t="str">
        <x:v>DNB/HeBIS/Frankfurt holdings not yet systematically checked</x:v>
      </x:c>
      <x:c r="U58" s="20" t="str"/>
      <x:c r="V58" s="20" t="str"/>
      <x:c r="W58" s="16" t="str">
        <x:v>Likely copyrighted; research TDM requires lawful access and applicable §60d UrhG conditions</x:v>
      </x:c>
      <x:c r="X58" s="16" t="str">
        <x:v>https://autorenhaus.de/collections/creative-writing/products/storytelling</x:v>
      </x:c>
      <x:c r="Y58" s="16" t="str"/>
      <x:c r="Z58" s="16" t="str">
        <x:v>https://portal.dnb.de/opac.htm?method=simpleSearch&amp;query=Storytelling%3A+Kunst+und+Technik+des+Erz%C3%A4hlens</x:v>
      </x:c>
      <x:c r="AA58" s="16" t="str">
        <x:v>Partial</x:v>
      </x:c>
      <x:c r="AB58" s="16" t="str">
        <x:v>Selected 2020 edition verified; first publication year of this title should receive a second-source check.</x:v>
      </x:c>
      <x:c r="AC58" s="16" t="str">
        <x:f>IF(AA58&lt;&gt;"Verified","Verify metadata",IF(P58="Tier 1","Acquire/check full text",IF(P58="Tier 2","Check holdings / acquire if feasible","Review later")))</x:f>
        <x:v>Verify metadata</x:v>
      </x:c>
    </x:row>
    <x:row r="59">
      <x:c r="A59" s="16" t="str">
        <x:v>DE-008</x:v>
      </x:c>
      <x:c r="B59" s="16" t="str">
        <x:v>German</x:v>
      </x:c>
      <x:c r="C59" s="16" t="str">
        <x:v>Stephan Waldscheidt</x:v>
      </x:c>
      <x:c r="D59" s="16" t="str">
        <x:v>Erzählperspektiven: Auktorial, personal, multiperspektivisch</x:v>
      </x:c>
      <x:c r="E59" s="16" t="str"/>
      <x:c r="F59" s="18" t="n">
        <x:v>2020</x:v>
      </x:c>
      <x:c r="G59" s="18" t="n">
        <x:v>2020</x:v>
      </x:c>
      <x:c r="H59" s="16" t="str">
        <x:v>First edition</x:v>
      </x:c>
      <x:c r="I59" s="16" t="str">
        <x:v>Independent / self-published</x:v>
      </x:c>
      <x:c r="J59" s="20" t="str">
        <x:v>9798575462552</x:v>
      </x:c>
      <x:c r="K59" s="20" t="str"/>
      <x:c r="L59" s="16" t="str">
        <x:v>German</x:v>
      </x:c>
      <x:c r="M59" s="16" t="str">
        <x:v>Original</x:v>
      </x:c>
      <x:c r="N59" s="16" t="str"/>
      <x:c r="O59" s="16" t="str">
        <x:v>POV craft</x:v>
      </x:c>
      <x:c r="P59" s="16" t="str">
        <x:v>Tier 1</x:v>
      </x:c>
      <x:c r="Q59" s="16" t="str">
        <x:v>High</x:v>
      </x:c>
      <x:c r="R59" s="16" t="str">
        <x:v>Dedicated German book on narrative perspectives</x:v>
      </x:c>
      <x:c r="S59" s="16" t="str">
        <x:v>Licensed/library copy likely needed; full-text availability not yet checked</x:v>
      </x:c>
      <x:c r="T59" s="16" t="str">
        <x:v>DNB/HeBIS/Frankfurt holdings not yet systematically checked</x:v>
      </x:c>
      <x:c r="U59" s="20" t="str"/>
      <x:c r="V59" s="20" t="str"/>
      <x:c r="W59" s="16" t="str">
        <x:v>Likely copyrighted; research TDM requires lawful access and applicable §60d UrhG conditions</x:v>
      </x:c>
      <x:c r="X59" s="16" t="str">
        <x:v>https://www.eurobuch.de/buch/isbn/9798575462552.html</x:v>
      </x:c>
      <x:c r="Y59" s="16" t="str"/>
      <x:c r="Z59" s="16" t="str">
        <x:v>https://portal.dnb.de/opac.htm?method=simpleSearch&amp;query=Erz%C3%A4hlperspektiven%3A+Auktorial%2C+personal%2C+multiperspektivisch</x:v>
      </x:c>
      <x:c r="AA59" s="16" t="str">
        <x:v>Verified</x:v>
      </x:c>
      <x:c r="AB59" s="16" t="str"/>
      <x:c r="AC59" s="16" t="str">
        <x:f>IF(AA59&lt;&gt;"Verified","Verify metadata",IF(P59="Tier 1","Acquire/check full text",IF(P59="Tier 2","Check holdings / acquire if feasible","Review later")))</x:f>
        <x:v>Acquire/check full text</x:v>
      </x:c>
    </x:row>
    <x:row r="60">
      <x:c r="A60" s="16" t="str">
        <x:v>DE-009</x:v>
      </x:c>
      <x:c r="B60" s="16" t="str">
        <x:v>German</x:v>
      </x:c>
      <x:c r="C60" s="16" t="str">
        <x:v>Stephan Waldscheidt</x:v>
      </x:c>
      <x:c r="D60" s="16" t="str">
        <x:v>Plot &amp; Struktur: Dramaturgie, Szenen, dichteres Erzählen</x:v>
      </x:c>
      <x:c r="E60" s="16" t="str"/>
      <x:c r="F60" s="18" t="n">
        <x:v>2016</x:v>
      </x:c>
      <x:c r="G60" s="18" t="n">
        <x:v>2017</x:v>
      </x:c>
      <x:c r="H60" s="16" t="str">
        <x:v>Print edition</x:v>
      </x:c>
      <x:c r="I60" s="16" t="str">
        <x:v>epubli</x:v>
      </x:c>
      <x:c r="J60" s="20" t="str">
        <x:v>9783745048827</x:v>
      </x:c>
      <x:c r="K60" s="20" t="str">
        <x:v>3745048822</x:v>
      </x:c>
      <x:c r="L60" s="16" t="str">
        <x:v>German</x:v>
      </x:c>
      <x:c r="M60" s="16" t="str">
        <x:v>Original</x:v>
      </x:c>
      <x:c r="N60" s="16" t="str"/>
      <x:c r="O60" s="16" t="str">
        <x:v>Plot/structure</x:v>
      </x:c>
      <x:c r="P60" s="16" t="str">
        <x:v>Tier 2</x:v>
      </x:c>
      <x:c r="Q60" s="16" t="str">
        <x:v>Medium</x:v>
      </x:c>
      <x:c r="R60" s="16" t="str">
        <x:v>Perspective appears in relation to scenes and narrative construction</x:v>
      </x:c>
      <x:c r="S60" s="16" t="str">
        <x:v>Licensed/library copy likely needed; full-text availability not yet checked</x:v>
      </x:c>
      <x:c r="T60" s="16" t="str">
        <x:v>DNB/HeBIS/Frankfurt holdings not yet systematically checked</x:v>
      </x:c>
      <x:c r="U60" s="20" t="str"/>
      <x:c r="V60" s="20" t="str"/>
      <x:c r="W60" s="16" t="str">
        <x:v>Likely copyrighted; research TDM requires lawful access and applicable §60d UrhG conditions</x:v>
      </x:c>
      <x:c r="X60" s="16" t="str">
        <x:v>https://www.eurobuch.de/buch/isbn/9783745048827.html</x:v>
      </x:c>
      <x:c r="Y60" s="16" t="str"/>
      <x:c r="Z60" s="16" t="str">
        <x:v>https://portal.dnb.de/opac.htm?method=simpleSearch&amp;query=Plot+%26+Struktur%3A+Dramaturgie%2C+Szenen%2C+dichteres+Erz%C3%A4hlen</x:v>
      </x:c>
      <x:c r="AA60" s="16" t="str">
        <x:v>Verified</x:v>
      </x:c>
      <x:c r="AB60" s="16" t="str"/>
      <x:c r="AC60" s="16" t="str">
        <x:f>IF(AA60&lt;&gt;"Verified","Verify metadata",IF(P60="Tier 1","Acquire/check full text",IF(P60="Tier 2","Check holdings / acquire if feasible","Review later")))</x:f>
        <x:v>Check holdings / acquire if feasible</x:v>
      </x:c>
    </x:row>
    <x:row r="61">
      <x:c r="A61" s="16" t="str">
        <x:v>DE-010</x:v>
      </x:c>
      <x:c r="B61" s="16" t="str">
        <x:v>German</x:v>
      </x:c>
      <x:c r="C61" s="16" t="str">
        <x:v>Stephan Waldscheidt</x:v>
      </x:c>
      <x:c r="D61" s="16" t="str">
        <x:v>Schreib den verd... Roman! Die simple Kunst, einen Bestseller zu verfassen</x:v>
      </x:c>
      <x:c r="E61" s="16" t="str"/>
      <x:c r="F61" s="18" t="n">
        <x:v>2006</x:v>
      </x:c>
      <x:c r="G61" s="18" t="n">
        <x:v>2006</x:v>
      </x:c>
      <x:c r="H61" s="16" t="str">
        <x:v>First edition</x:v>
      </x:c>
      <x:c r="I61" s="16" t="str">
        <x:v>Uschtrin Verlag</x:v>
      </x:c>
      <x:c r="J61" s="20" t="str">
        <x:v>9783932522048</x:v>
      </x:c>
      <x:c r="K61" s="20" t="str">
        <x:v>3932522044</x:v>
      </x:c>
      <x:c r="L61" s="16" t="str">
        <x:v>German</x:v>
      </x:c>
      <x:c r="M61" s="16" t="str">
        <x:v>Original</x:v>
      </x:c>
      <x:c r="N61" s="16" t="str"/>
      <x:c r="O61" s="16" t="str">
        <x:v>Novel craft</x:v>
      </x:c>
      <x:c r="P61" s="16" t="str">
        <x:v>Tier 2</x:v>
      </x:c>
      <x:c r="Q61" s="16" t="str">
        <x:v>Medium</x:v>
      </x:c>
      <x:c r="R61" s="16" t="str">
        <x:v>General novel craft</x:v>
      </x:c>
      <x:c r="S61" s="16" t="str">
        <x:v>Licensed/library copy likely needed; full-text availability not yet checked</x:v>
      </x:c>
      <x:c r="T61" s="16" t="str">
        <x:v>DNB/HeBIS/Frankfurt holdings not yet systematically checked</x:v>
      </x:c>
      <x:c r="U61" s="20" t="str"/>
      <x:c r="V61" s="20" t="str"/>
      <x:c r="W61" s="16" t="str">
        <x:v>Likely copyrighted; research TDM requires lawful access and applicable §60d UrhG conditions</x:v>
      </x:c>
      <x:c r="X61" s="16" t="str">
        <x:v>https://www.verena-schindler.de/2021/04/11/schreib-den-verd-roman-von-stephan-waldscheidt/</x:v>
      </x:c>
      <x:c r="Y61" s="16" t="str"/>
      <x:c r="Z61" s="16" t="str">
        <x:v>https://portal.dnb.de/opac.htm?method=simpleSearch&amp;query=Schreib+den+verd...+Roman%21+Die+simple+Kunst%2C+einen+Bestseller+zu+verfassen</x:v>
      </x:c>
      <x:c r="AA61" s="16" t="str">
        <x:v>Partial</x:v>
      </x:c>
      <x:c r="AB61" s="16" t="str"/>
      <x:c r="AC61" s="16" t="str">
        <x:f>IF(AA61&lt;&gt;"Verified","Verify metadata",IF(P61="Tier 1","Acquire/check full text",IF(P61="Tier 2","Check holdings / acquire if feasible","Review later")))</x:f>
        <x:v>Verify metadata</x:v>
      </x:c>
    </x:row>
    <x:row r="62">
      <x:c r="A62" s="16" t="str">
        <x:v>DE-011</x:v>
      </x:c>
      <x:c r="B62" s="16" t="str">
        <x:v>German</x:v>
      </x:c>
      <x:c r="C62" s="16" t="str">
        <x:v>Gustav Ernst; Karin Fleischanderl</x:v>
      </x:c>
      <x:c r="D62" s="16" t="str">
        <x:v>Romane schreiben: Geschichten entwickeln, Figuren zeichnen, Stil finden</x:v>
      </x:c>
      <x:c r="E62" s="16" t="str"/>
      <x:c r="F62" s="18" t="n">
        <x:v>2019</x:v>
      </x:c>
      <x:c r="G62" s="18" t="n">
        <x:v>2019</x:v>
      </x:c>
      <x:c r="H62" s="16" t="str">
        <x:v>First edition</x:v>
      </x:c>
      <x:c r="I62" s="16" t="str">
        <x:v>Haymon Verlag</x:v>
      </x:c>
      <x:c r="J62" s="20" t="str">
        <x:v>9783709934746</x:v>
      </x:c>
      <x:c r="K62" s="20" t="str">
        <x:v>3709934745</x:v>
      </x:c>
      <x:c r="L62" s="16" t="str">
        <x:v>German</x:v>
      </x:c>
      <x:c r="M62" s="16" t="str">
        <x:v>Original</x:v>
      </x:c>
      <x:c r="N62" s="16" t="str"/>
      <x:c r="O62" s="16" t="str">
        <x:v>Novel craft</x:v>
      </x:c>
      <x:c r="P62" s="16" t="str">
        <x:v>Tier 1</x:v>
      </x:c>
      <x:c r="Q62" s="16" t="str">
        <x:v>High</x:v>
      </x:c>
      <x:c r="R62" s="16" t="str">
        <x:v>Novel technique, characters, style and narrative construction</x:v>
      </x:c>
      <x:c r="S62" s="16" t="str">
        <x:v>Licensed/library copy likely needed; full-text availability not yet checked</x:v>
      </x:c>
      <x:c r="T62" s="16" t="str">
        <x:v>DNB/HeBIS/Frankfurt holdings not yet systematically checked</x:v>
      </x:c>
      <x:c r="U62" s="20" t="str"/>
      <x:c r="V62" s="20" t="str"/>
      <x:c r="W62" s="16" t="str">
        <x:v>Likely copyrighted; research TDM requires lawful access and applicable §60d UrhG conditions</x:v>
      </x:c>
      <x:c r="X62" s="16" t="str">
        <x:v>https://www.haymonverlag.at/produkt/romane-schreiben/</x:v>
      </x:c>
      <x:c r="Y62" s="16" t="str"/>
      <x:c r="Z62" s="16" t="str">
        <x:v>https://portal.dnb.de/opac.htm?method=simpleSearch&amp;query=Romane+schreiben%3A+Geschichten+entwickeln%2C+Figuren+zeichnen%2C+Stil+finden</x:v>
      </x:c>
      <x:c r="AA62" s="16" t="str">
        <x:v>Verified</x:v>
      </x:c>
      <x:c r="AB62" s="16" t="str"/>
      <x:c r="AC62" s="16" t="str">
        <x:f>IF(AA62&lt;&gt;"Verified","Verify metadata",IF(P62="Tier 1","Acquire/check full text",IF(P62="Tier 2","Check holdings / acquire if feasible","Review later")))</x:f>
        <x:v>Acquire/check full text</x:v>
      </x:c>
    </x:row>
    <x:row r="63">
      <x:c r="A63" s="16" t="str">
        <x:v>DE-012</x:v>
      </x:c>
      <x:c r="B63" s="16" t="str">
        <x:v>German</x:v>
      </x:c>
      <x:c r="C63" s="16" t="str">
        <x:v>Anna Basener</x:v>
      </x:c>
      <x:c r="D63" s="16" t="str">
        <x:v>Liebes- und Heftromane schreiben und veröffentlichen</x:v>
      </x:c>
      <x:c r="E63" s="16" t="str"/>
      <x:c r="F63" s="18" t="n">
        <x:v>2019</x:v>
      </x:c>
      <x:c r="G63" s="18" t="n">
        <x:v>2019</x:v>
      </x:c>
      <x:c r="H63" s="16" t="str">
        <x:v>First edition</x:v>
      </x:c>
      <x:c r="I63" s="16" t="str">
        <x:v>Autorenhaus Verlag</x:v>
      </x:c>
      <x:c r="J63" s="20" t="str">
        <x:v>9783866711549</x:v>
      </x:c>
      <x:c r="K63" s="20" t="str">
        <x:v>3866711549</x:v>
      </x:c>
      <x:c r="L63" s="16" t="str">
        <x:v>German</x:v>
      </x:c>
      <x:c r="M63" s="16" t="str">
        <x:v>Original</x:v>
      </x:c>
      <x:c r="N63" s="16" t="str"/>
      <x:c r="O63" s="16" t="str">
        <x:v>Genre-specific craft</x:v>
      </x:c>
      <x:c r="P63" s="16" t="str">
        <x:v>Tier 2</x:v>
      </x:c>
      <x:c r="Q63" s="16" t="str">
        <x:v>Medium</x:v>
      </x:c>
      <x:c r="R63" s="16" t="str">
        <x:v>Genre-specific narrative conventions; useful comparison corpus</x:v>
      </x:c>
      <x:c r="S63" s="16" t="str">
        <x:v>Licensed/library copy likely needed; full-text availability not yet checked</x:v>
      </x:c>
      <x:c r="T63" s="16" t="str">
        <x:v>DNB/HeBIS/Frankfurt holdings not yet systematically checked</x:v>
      </x:c>
      <x:c r="U63" s="20" t="str"/>
      <x:c r="V63" s="20" t="str"/>
      <x:c r="W63" s="16" t="str">
        <x:v>Likely copyrighted; research TDM requires lawful access and applicable §60d UrhG conditions</x:v>
      </x:c>
      <x:c r="X63" s="16" t="str">
        <x:v>https://autorenhaus.de/collections/creative-writing/products/liebes-und-heftromane-schreiben</x:v>
      </x:c>
      <x:c r="Y63" s="16" t="str"/>
      <x:c r="Z63" s="16" t="str">
        <x:v>https://portal.dnb.de/opac.htm?method=simpleSearch&amp;query=Liebes-+und+Heftromane+schreiben+und+ver%C3%B6ffentlichen</x:v>
      </x:c>
      <x:c r="AA63" s="16" t="str">
        <x:v>Verified</x:v>
      </x:c>
      <x:c r="AB63" s="16" t="str"/>
      <x:c r="AC63" s="16" t="str">
        <x:f>IF(AA63&lt;&gt;"Verified","Verify metadata",IF(P63="Tier 1","Acquire/check full text",IF(P63="Tier 2","Check holdings / acquire if feasible","Review later")))</x:f>
        <x:v>Check holdings / acquire if feasible</x:v>
      </x:c>
    </x:row>
    <x:row r="64">
      <x:c r="A64" s="16" t="str">
        <x:v>DE-013</x:v>
      </x:c>
      <x:c r="B64" s="16" t="str">
        <x:v>German</x:v>
      </x:c>
      <x:c r="C64" s="16" t="str">
        <x:v>Patrick Baumgärtel</x:v>
      </x:c>
      <x:c r="D64" s="16" t="str">
        <x:v>Krimis schreiben</x:v>
      </x:c>
      <x:c r="E64" s="16" t="str"/>
      <x:c r="F64" s="18" t="n">
        <x:v>2018</x:v>
      </x:c>
      <x:c r="G64" s="18" t="n">
        <x:v>2018</x:v>
      </x:c>
      <x:c r="H64" s="16" t="str">
        <x:v>First edition</x:v>
      </x:c>
      <x:c r="I64" s="16" t="str">
        <x:v>Autorenhaus Verlag</x:v>
      </x:c>
      <x:c r="J64" s="20" t="str">
        <x:v>9783866711501</x:v>
      </x:c>
      <x:c r="K64" s="20" t="str">
        <x:v>3866711506</x:v>
      </x:c>
      <x:c r="L64" s="16" t="str">
        <x:v>German</x:v>
      </x:c>
      <x:c r="M64" s="16" t="str">
        <x:v>Original</x:v>
      </x:c>
      <x:c r="N64" s="16" t="str"/>
      <x:c r="O64" s="16" t="str">
        <x:v>Genre-specific craft</x:v>
      </x:c>
      <x:c r="P64" s="16" t="str">
        <x:v>Tier 1</x:v>
      </x:c>
      <x:c r="Q64" s="16" t="str">
        <x:v>High</x:v>
      </x:c>
      <x:c r="R64" s="16" t="str">
        <x:v>Publisher materials include narrative perspectives and tenses</x:v>
      </x:c>
      <x:c r="S64" s="16" t="str">
        <x:v>Licensed/library copy likely needed; full-text availability not yet checked</x:v>
      </x:c>
      <x:c r="T64" s="16" t="str">
        <x:v>DNB/HeBIS/Frankfurt holdings not yet systematically checked</x:v>
      </x:c>
      <x:c r="U64" s="20" t="str"/>
      <x:c r="V64" s="20" t="str"/>
      <x:c r="W64" s="16" t="str">
        <x:v>Likely copyrighted; research TDM requires lawful access and applicable §60d UrhG conditions</x:v>
      </x:c>
      <x:c r="X64" s="16" t="str">
        <x:v>https://autorenhaus.de/products/krimis-schreiben</x:v>
      </x:c>
      <x:c r="Y64" s="16" t="str"/>
      <x:c r="Z64" s="16" t="str">
        <x:v>https://portal.dnb.de/opac.htm?method=simpleSearch&amp;query=Krimis+schreiben</x:v>
      </x:c>
      <x:c r="AA64" s="16" t="str">
        <x:v>Verified</x:v>
      </x:c>
      <x:c r="AB64" s="16" t="str"/>
      <x:c r="AC64" s="16" t="str">
        <x:f>IF(AA64&lt;&gt;"Verified","Verify metadata",IF(P64="Tier 1","Acquire/check full text",IF(P64="Tier 2","Check holdings / acquire if feasible","Review later")))</x:f>
        <x:v>Acquire/check full text</x:v>
      </x:c>
    </x:row>
    <x:row r="65">
      <x:c r="A65" s="16" t="str">
        <x:v>DE-014</x:v>
      </x:c>
      <x:c r="B65" s="16" t="str">
        <x:v>German</x:v>
      </x:c>
      <x:c r="C65" s="16" t="str">
        <x:v>Sylvia Englert</x:v>
      </x:c>
      <x:c r="D65" s="16" t="str">
        <x:v>Fantasy schreiben und veröffentlichen</x:v>
      </x:c>
      <x:c r="E65" s="16" t="str"/>
      <x:c r="F65" s="18" t="n">
        <x:v>2015</x:v>
      </x:c>
      <x:c r="G65" s="18" t="n">
        <x:v>2015</x:v>
      </x:c>
      <x:c r="H65" s="16" t="str">
        <x:v>First edition</x:v>
      </x:c>
      <x:c r="I65" s="16" t="str">
        <x:v>Autorenhaus Verlag</x:v>
      </x:c>
      <x:c r="J65" s="20" t="str">
        <x:v>9783866711273</x:v>
      </x:c>
      <x:c r="K65" s="20" t="str">
        <x:v>3866711271</x:v>
      </x:c>
      <x:c r="L65" s="16" t="str">
        <x:v>German</x:v>
      </x:c>
      <x:c r="M65" s="16" t="str">
        <x:v>Original</x:v>
      </x:c>
      <x:c r="N65" s="16" t="str"/>
      <x:c r="O65" s="16" t="str">
        <x:v>Genre-specific craft</x:v>
      </x:c>
      <x:c r="P65" s="16" t="str">
        <x:v>Tier 2</x:v>
      </x:c>
      <x:c r="Q65" s="16" t="str">
        <x:v>Medium</x:v>
      </x:c>
      <x:c r="R65" s="16" t="str">
        <x:v>Fantasy fiction craft; likely POV and narration sections</x:v>
      </x:c>
      <x:c r="S65" s="16" t="str">
        <x:v>Licensed/library copy likely needed; full-text availability not yet checked</x:v>
      </x:c>
      <x:c r="T65" s="16" t="str">
        <x:v>DNB/HeBIS/Frankfurt holdings not yet systematically checked</x:v>
      </x:c>
      <x:c r="U65" s="20" t="str"/>
      <x:c r="V65" s="20" t="str"/>
      <x:c r="W65" s="16" t="str">
        <x:v>Likely copyrighted; research TDM requires lawful access and applicable §60d UrhG conditions</x:v>
      </x:c>
      <x:c r="X65" s="16" t="str">
        <x:v>https://www.sylvia-englert.de/meine-buecher/fantasy-schreiben-und-veroeffentlichen/</x:v>
      </x:c>
      <x:c r="Y65" s="16" t="str"/>
      <x:c r="Z65" s="16" t="str">
        <x:v>https://portal.dnb.de/opac.htm?method=simpleSearch&amp;query=Fantasy+schreiben+und+ver%C3%B6ffentlichen</x:v>
      </x:c>
      <x:c r="AA65" s="16" t="str">
        <x:v>Verified</x:v>
      </x:c>
      <x:c r="AB65" s="16" t="str"/>
      <x:c r="AC65" s="16" t="str">
        <x:f>IF(AA65&lt;&gt;"Verified","Verify metadata",IF(P65="Tier 1","Acquire/check full text",IF(P65="Tier 2","Check holdings / acquire if feasible","Review later")))</x:f>
        <x:v>Check holdings / acquire if feasible</x:v>
      </x:c>
    </x:row>
    <x:row r="66">
      <x:c r="A66" s="16" t="str">
        <x:v>DE-015</x:v>
      </x:c>
      <x:c r="B66" s="16" t="str">
        <x:v>German</x:v>
      </x:c>
      <x:c r="C66" s="16" t="str">
        <x:v>Sylvia Englert</x:v>
      </x:c>
      <x:c r="D66" s="16" t="str">
        <x:v>Coole Texte schreiben und Autor/in werden</x:v>
      </x:c>
      <x:c r="E66" s="16" t="str"/>
      <x:c r="F66" s="18"/>
      <x:c r="G66" s="18" t="n">
        <x:v>2015</x:v>
      </x:c>
      <x:c r="H66" s="16" t="str">
        <x:v>3rd edition</x:v>
      </x:c>
      <x:c r="I66" s="16" t="str">
        <x:v>Autorenhaus Verlag</x:v>
      </x:c>
      <x:c r="J66" s="20" t="str">
        <x:v>9783866711259</x:v>
      </x:c>
      <x:c r="K66" s="20" t="str">
        <x:v>3866711255</x:v>
      </x:c>
      <x:c r="L66" s="16" t="str">
        <x:v>German</x:v>
      </x:c>
      <x:c r="M66" s="16" t="str">
        <x:v>Original</x:v>
      </x:c>
      <x:c r="N66" s="16" t="str"/>
      <x:c r="O66" s="16" t="str">
        <x:v>General writing craft</x:v>
      </x:c>
      <x:c r="P66" s="16" t="str">
        <x:v>Tier 3</x:v>
      </x:c>
      <x:c r="Q66" s="16" t="str">
        <x:v>Low</x:v>
      </x:c>
      <x:c r="R66" s="16" t="str">
        <x:v>Broader writing/advice title; useful contrast</x:v>
      </x:c>
      <x:c r="S66" s="16" t="str">
        <x:v>Licensed/library copy likely needed; full-text availability not yet checked</x:v>
      </x:c>
      <x:c r="T66" s="16" t="str">
        <x:v>DNB/HeBIS/Frankfurt holdings not yet systematically checked</x:v>
      </x:c>
      <x:c r="U66" s="20" t="str"/>
      <x:c r="V66" s="20" t="str"/>
      <x:c r="W66" s="16" t="str">
        <x:v>Likely copyrighted; research TDM requires lawful access and applicable §60d UrhG conditions</x:v>
      </x:c>
      <x:c r="X66" s="16" t="str">
        <x:v>https://autorenhaus.de/products/coole-texte</x:v>
      </x:c>
      <x:c r="Y66" s="16" t="str"/>
      <x:c r="Z66" s="16" t="str">
        <x:v>https://portal.dnb.de/opac.htm?method=simpleSearch&amp;query=Coole+Texte+schreiben+und+Autor%2Fin+werden</x:v>
      </x:c>
      <x:c r="AA66" s="16" t="str">
        <x:v>Partial</x:v>
      </x:c>
      <x:c r="AB66" s="16" t="str">
        <x:v>Selected 2015 edition verified; first publication year should be checked separately.</x:v>
      </x:c>
      <x:c r="AC66" s="16" t="str">
        <x:f>IF(AA66&lt;&gt;"Verified","Verify metadata",IF(P66="Tier 1","Acquire/check full text",IF(P66="Tier 2","Check holdings / acquire if feasible","Review later")))</x:f>
        <x:v>Verify metadata</x:v>
      </x:c>
    </x:row>
    <x:row r="67">
      <x:c r="A67" s="16" t="str">
        <x:v>DE-016</x:v>
      </x:c>
      <x:c r="B67" s="16" t="str">
        <x:v>German</x:v>
      </x:c>
      <x:c r="C67" s="16" t="str">
        <x:v>Sylvia Englert</x:v>
      </x:c>
      <x:c r="D67" s="16" t="str">
        <x:v>Handbuch für Kinder- und Jugendbuch-Autoren</x:v>
      </x:c>
      <x:c r="E67" s="16" t="str"/>
      <x:c r="F67" s="18" t="n">
        <x:v>2013</x:v>
      </x:c>
      <x:c r="G67" s="18" t="n">
        <x:v>2017</x:v>
      </x:c>
      <x:c r="H67" s="16" t="str">
        <x:v>1st/market edition record</x:v>
      </x:c>
      <x:c r="I67" s="16" t="str">
        <x:v>Autorenhaus Verlag</x:v>
      </x:c>
      <x:c r="J67" s="20" t="str">
        <x:v>9783866711044</x:v>
      </x:c>
      <x:c r="K67" s="20" t="str">
        <x:v>3866711042</x:v>
      </x:c>
      <x:c r="L67" s="16" t="str">
        <x:v>German</x:v>
      </x:c>
      <x:c r="M67" s="16" t="str">
        <x:v>Original</x:v>
      </x:c>
      <x:c r="N67" s="16" t="str"/>
      <x:c r="O67" s="16" t="str">
        <x:v>Genre-specific craft</x:v>
      </x:c>
      <x:c r="P67" s="16" t="str">
        <x:v>Tier 2</x:v>
      </x:c>
      <x:c r="Q67" s="16" t="str">
        <x:v>Medium</x:v>
      </x:c>
      <x:c r="R67" s="16" t="str">
        <x:v>Narrative craft across children's and YA genres</x:v>
      </x:c>
      <x:c r="S67" s="16" t="str">
        <x:v>Licensed/library copy likely needed; full-text availability not yet checked</x:v>
      </x:c>
      <x:c r="T67" s="16" t="str">
        <x:v>DNB/HeBIS/Frankfurt holdings not yet systematically checked</x:v>
      </x:c>
      <x:c r="U67" s="20" t="str"/>
      <x:c r="V67" s="20" t="str"/>
      <x:c r="W67" s="16" t="str">
        <x:v>Likely copyrighted; research TDM requires lawful access and applicable §60d UrhG conditions</x:v>
      </x:c>
      <x:c r="X67" s="16" t="str">
        <x:v>https://www.sylvia-englert.de/meine-buecher/schreiben-fur-kinder-und-jugendliche/</x:v>
      </x:c>
      <x:c r="Y67" s="16" t="str"/>
      <x:c r="Z67" s="16" t="str">
        <x:v>https://portal.dnb.de/opac.htm?method=simpleSearch&amp;query=Handbuch+f%C3%BCr+Kinder-+und+Jugendbuch-Autoren</x:v>
      </x:c>
      <x:c r="AA67" s="16" t="str">
        <x:v>Partial</x:v>
      </x:c>
      <x:c r="AB67" s="16" t="str">
        <x:v>Author site identifies 1st edition 2013; some bookseller metadata lists the ISBN as a 2017 release. Preserve both dates pending DNB authority check.</x:v>
      </x:c>
      <x:c r="AC67" s="16" t="str">
        <x:f>IF(AA67&lt;&gt;"Verified","Verify metadata",IF(P67="Tier 1","Acquire/check full text",IF(P67="Tier 2","Check holdings / acquire if feasible","Review later")))</x:f>
        <x:v>Verify metadata</x:v>
      </x:c>
    </x:row>
    <x:row r="68">
      <x:c r="A68" s="16" t="str">
        <x:v>DE-017</x:v>
      </x:c>
      <x:c r="B68" s="16" t="str">
        <x:v>German</x:v>
      </x:c>
      <x:c r="C68" s="16" t="str">
        <x:v>Hans Peter Roentgen</x:v>
      </x:c>
      <x:c r="D68" s="16" t="str">
        <x:v>Vier Seiten für ein Halleluja</x:v>
      </x:c>
      <x:c r="E68" s="16" t="str"/>
      <x:c r="F68" s="18" t="n">
        <x:v>2008</x:v>
      </x:c>
      <x:c r="G68" s="18" t="n">
        <x:v>2008</x:v>
      </x:c>
      <x:c r="H68" s="16" t="str">
        <x:v>First edition</x:v>
      </x:c>
      <x:c r="I68" s="16" t="str">
        <x:v>Sieben Verlag</x:v>
      </x:c>
      <x:c r="J68" s="20" t="str">
        <x:v>9783940235367</x:v>
      </x:c>
      <x:c r="K68" s="20" t="str">
        <x:v>3940235369</x:v>
      </x:c>
      <x:c r="L68" s="16" t="str">
        <x:v>German</x:v>
      </x:c>
      <x:c r="M68" s="16" t="str">
        <x:v>Original</x:v>
      </x:c>
      <x:c r="N68" s="16" t="str"/>
      <x:c r="O68" s="16" t="str">
        <x:v>Manuscript/craft critique</x:v>
      </x:c>
      <x:c r="P68" s="16" t="str">
        <x:v>Tier 2</x:v>
      </x:c>
      <x:c r="Q68" s="16" t="str">
        <x:v>Medium</x:v>
      </x:c>
      <x:c r="R68" s="16" t="str">
        <x:v>Close textual craft critique; possible POV diagnostics</x:v>
      </x:c>
      <x:c r="S68" s="16" t="str">
        <x:v>Licensed/library copy likely needed; full-text availability not yet checked</x:v>
      </x:c>
      <x:c r="T68" s="16" t="str">
        <x:v>DNB/HeBIS/Frankfurt holdings not yet systematically checked</x:v>
      </x:c>
      <x:c r="U68" s="20" t="str"/>
      <x:c r="V68" s="20" t="str"/>
      <x:c r="W68" s="16" t="str">
        <x:v>Likely copyrighted; research TDM requires lawful access and applicable §60d UrhG conditions</x:v>
      </x:c>
      <x:c r="X68" s="16" t="str">
        <x:v>https://www.eurobuch.de/buch/isbn/9783940235367.html</x:v>
      </x:c>
      <x:c r="Y68" s="16" t="str"/>
      <x:c r="Z68" s="16" t="str">
        <x:v>https://portal.dnb.de/opac.htm?method=simpleSearch&amp;query=Vier+Seiten+f%C3%BCr+ein+Halleluja</x:v>
      </x:c>
      <x:c r="AA68" s="16" t="str">
        <x:v>Partial</x:v>
      </x:c>
      <x:c r="AB68" s="16" t="str"/>
      <x:c r="AC68" s="16" t="str">
        <x:f>IF(AA68&lt;&gt;"Verified","Verify metadata",IF(P68="Tier 1","Acquire/check full text",IF(P68="Tier 2","Check holdings / acquire if feasible","Review later")))</x:f>
        <x:v>Verify metadata</x:v>
      </x:c>
    </x:row>
    <x:row r="69">
      <x:c r="A69" s="16" t="str">
        <x:v>DE-018</x:v>
      </x:c>
      <x:c r="B69" s="16" t="str">
        <x:v>German</x:v>
      </x:c>
      <x:c r="C69" s="16" t="str">
        <x:v>Hans Peter Roentgen</x:v>
      </x:c>
      <x:c r="D69" s="16" t="str">
        <x:v>Drei Seiten für ein Exposé</x:v>
      </x:c>
      <x:c r="E69" s="16" t="str"/>
      <x:c r="F69" s="18" t="n">
        <x:v>2010</x:v>
      </x:c>
      <x:c r="G69" s="18" t="n">
        <x:v>2010</x:v>
      </x:c>
      <x:c r="H69" s="16" t="str">
        <x:v>First edition</x:v>
      </x:c>
      <x:c r="I69" s="16" t="str">
        <x:v>Sieben Verlag</x:v>
      </x:c>
      <x:c r="J69" s="20" t="str">
        <x:v>9783940235909</x:v>
      </x:c>
      <x:c r="K69" s="20" t="str">
        <x:v>3940235903</x:v>
      </x:c>
      <x:c r="L69" s="16" t="str">
        <x:v>German</x:v>
      </x:c>
      <x:c r="M69" s="16" t="str">
        <x:v>Original</x:v>
      </x:c>
      <x:c r="N69" s="16" t="str"/>
      <x:c r="O69" s="16" t="str">
        <x:v>Synopsis/publishing craft</x:v>
      </x:c>
      <x:c r="P69" s="16" t="str">
        <x:v>Tier 3</x:v>
      </x:c>
      <x:c r="Q69" s="16" t="str">
        <x:v>Low</x:v>
      </x:c>
      <x:c r="R69" s="16" t="str">
        <x:v>Primarily exposé construction; useful negative/control</x:v>
      </x:c>
      <x:c r="S69" s="16" t="str">
        <x:v>Licensed/library copy likely needed; full-text availability not yet checked</x:v>
      </x:c>
      <x:c r="T69" s="16" t="str">
        <x:v>DNB/HeBIS/Frankfurt holdings not yet systematically checked</x:v>
      </x:c>
      <x:c r="U69" s="20" t="str"/>
      <x:c r="V69" s="20" t="str"/>
      <x:c r="W69" s="16" t="str">
        <x:v>Likely copyrighted; research TDM requires lawful access and applicable §60d UrhG conditions</x:v>
      </x:c>
      <x:c r="X69" s="16" t="str">
        <x:v>https://www.eurobuch.de/buch/isbn/9783940235909.html</x:v>
      </x:c>
      <x:c r="Y69" s="16" t="str"/>
      <x:c r="Z69" s="16" t="str">
        <x:v>https://portal.dnb.de/opac.htm?method=simpleSearch&amp;query=Drei+Seiten+f%C3%BCr+ein+Expos%C3%A9</x:v>
      </x:c>
      <x:c r="AA69" s="16" t="str">
        <x:v>Verified</x:v>
      </x:c>
      <x:c r="AB69" s="16" t="str"/>
      <x:c r="AC69" s="16" t="str">
        <x:f>IF(AA69&lt;&gt;"Verified","Verify metadata",IF(P69="Tier 1","Acquire/check full text",IF(P69="Tier 2","Check holdings / acquire if feasible","Review later")))</x:f>
        <x:v>Review later</x:v>
      </x:c>
    </x:row>
    <x:row r="70">
      <x:c r="A70" s="16" t="str">
        <x:v>DE-019</x:v>
      </x:c>
      <x:c r="B70" s="16" t="str">
        <x:v>German</x:v>
      </x:c>
      <x:c r="C70" s="16" t="str">
        <x:v>Hans Peter Roentgen</x:v>
      </x:c>
      <x:c r="D70" s="16" t="str">
        <x:v>Was dem Lektorat auffällt</x:v>
      </x:c>
      <x:c r="E70" s="16" t="str"/>
      <x:c r="F70" s="18"/>
      <x:c r="G70" s="18" t="n">
        <x:v>2026</x:v>
      </x:c>
      <x:c r="H70" s="16" t="str">
        <x:v>Current edition</x:v>
      </x:c>
      <x:c r="I70" s="16" t="str">
        <x:v>Charles Verlag</x:v>
      </x:c>
      <x:c r="J70" s="20" t="str">
        <x:v>9783910408128</x:v>
      </x:c>
      <x:c r="K70" s="20" t="str">
        <x:v>3910408125</x:v>
      </x:c>
      <x:c r="L70" s="16" t="str">
        <x:v>German</x:v>
      </x:c>
      <x:c r="M70" s="16" t="str">
        <x:v>Original</x:v>
      </x:c>
      <x:c r="N70" s="16" t="str"/>
      <x:c r="O70" s="16" t="str">
        <x:v>Editing/craft critique</x:v>
      </x:c>
      <x:c r="P70" s="16" t="str">
        <x:v>Tier 2</x:v>
      </x:c>
      <x:c r="Q70" s="16" t="str">
        <x:v>Medium</x:v>
      </x:c>
      <x:c r="R70" s="16" t="str">
        <x:v>Editorial diagnostics may include POV inconsistency</x:v>
      </x:c>
      <x:c r="S70" s="16" t="str">
        <x:v>Licensed/library copy likely needed; full-text availability not yet checked</x:v>
      </x:c>
      <x:c r="T70" s="16" t="str">
        <x:v>DNB/HeBIS/Frankfurt holdings not yet systematically checked</x:v>
      </x:c>
      <x:c r="U70" s="20" t="str">
        <x:v>1391162471</x:v>
      </x:c>
      <x:c r="V70" s="20" t="str"/>
      <x:c r="W70" s="16" t="str">
        <x:v>Likely copyrighted; research TDM requires lawful access and applicable §60d UrhG conditions</x:v>
      </x:c>
      <x:c r="X70" s="16" t="str">
        <x:v>https://www.thalia.de/shop/home/artikeldetails/A1077976112</x:v>
      </x:c>
      <x:c r="Y70" s="16" t="str">
        <x:v>https://portal.dnb.de/opac.htm?cqlMode=true&amp;method=simpleSearch&amp;query=idn%3D1391162471</x:v>
      </x:c>
      <x:c r="Z70" s="16" t="str">
        <x:v>https://portal.dnb.de/opac.htm?method=simpleSearch&amp;query=Was+dem+Lektorat+auff%C3%A4llt</x:v>
      </x:c>
      <x:c r="AA70" s="16" t="str">
        <x:v>Partial</x:v>
      </x:c>
      <x:c r="AB70" s="16" t="str">
        <x:v>Current 2026 edition verified; first publication history of the title should be checked.</x:v>
      </x:c>
      <x:c r="AC70" s="16" t="str">
        <x:f>IF(AA70&lt;&gt;"Verified","Verify metadata",IF(P70="Tier 1","Acquire/check full text",IF(P70="Tier 2","Check holdings / acquire if feasible","Review later")))</x:f>
        <x:v>Verify metadata</x:v>
      </x:c>
    </x:row>
    <x:row r="71">
      <x:c r="A71" s="16" t="str">
        <x:v>DE-020</x:v>
      </x:c>
      <x:c r="B71" s="16" t="str">
        <x:v>German</x:v>
      </x:c>
      <x:c r="C71" s="16" t="str">
        <x:v>Hanns-Josef Ortheil</x:v>
      </x:c>
      <x:c r="D71" s="16" t="str">
        <x:v>Mit dem Schreiben anfangen: Fingerübungen des kreativen Schreibens</x:v>
      </x:c>
      <x:c r="E71" s="16" t="str"/>
      <x:c r="F71" s="18"/>
      <x:c r="G71" s="18" t="n">
        <x:v>2019</x:v>
      </x:c>
      <x:c r="H71" s="16" t="str">
        <x:v>Selected eBook edition</x:v>
      </x:c>
      <x:c r="I71" s="16" t="str">
        <x:v>Duden</x:v>
      </x:c>
      <x:c r="J71" s="20" t="str">
        <x:v>9783411913077</x:v>
      </x:c>
      <x:c r="K71" s="20" t="str">
        <x:v>341191307X</x:v>
      </x:c>
      <x:c r="L71" s="16" t="str">
        <x:v>German</x:v>
      </x:c>
      <x:c r="M71" s="16" t="str">
        <x:v>Original</x:v>
      </x:c>
      <x:c r="N71" s="16" t="str"/>
      <x:c r="O71" s="16" t="str">
        <x:v>Writing exercises/process</x:v>
      </x:c>
      <x:c r="P71" s="16" t="str">
        <x:v>Tier 3</x:v>
      </x:c>
      <x:c r="Q71" s="16" t="str">
        <x:v>Low</x:v>
      </x:c>
      <x:c r="R71" s="16" t="str">
        <x:v>Process/exercise oriented; useful control corpus</x:v>
      </x:c>
      <x:c r="S71" s="16" t="str">
        <x:v>Licensed/library copy likely needed; full-text availability not yet checked</x:v>
      </x:c>
      <x:c r="T71" s="16" t="str">
        <x:v>DNB/HeBIS/Frankfurt holdings not yet systematically checked</x:v>
      </x:c>
      <x:c r="U71" s="20" t="str"/>
      <x:c r="V71" s="20" t="str"/>
      <x:c r="W71" s="16" t="str">
        <x:v>Likely copyrighted; research TDM requires lawful access and applicable §60d UrhG conditions</x:v>
      </x:c>
      <x:c r="X71" s="16" t="str">
        <x:v>https://www.leo-bw.de/en/detail/-/Detail/details/DOKUMENT/bsz_swb/1750596288/Mit%20dem%20Schreiben%20anfangen%20Finger%C3%BCbungen%20des%20kreativen%20Schreibens</x:v>
      </x:c>
      <x:c r="Y71" s="16" t="str"/>
      <x:c r="Z71" s="16" t="str">
        <x:v>https://portal.dnb.de/opac.htm?method=simpleSearch&amp;query=Mit+dem+Schreiben+anfangen%3A+Finger%C3%BCbungen+des+kreativen+Schreibens</x:v>
      </x:c>
      <x:c r="AA71" s="16" t="str">
        <x:v>Partial</x:v>
      </x:c>
      <x:c r="AB71" s="16" t="str"/>
      <x:c r="AC71" s="16" t="str">
        <x:f>IF(AA71&lt;&gt;"Verified","Verify metadata",IF(P71="Tier 1","Acquire/check full text",IF(P71="Tier 2","Check holdings / acquire if feasible","Review later")))</x:f>
        <x:v>Verify metadata</x:v>
      </x:c>
    </x:row>
    <x:row r="72">
      <x:c r="A72" s="16" t="str">
        <x:v>DE-021</x:v>
      </x:c>
      <x:c r="B72" s="16" t="str">
        <x:v>German</x:v>
      </x:c>
      <x:c r="C72" s="16" t="str">
        <x:v>Hanns-Josef Ortheil</x:v>
      </x:c>
      <x:c r="D72" s="16" t="str">
        <x:v>Schreiben dicht am Leben: Notieren und Skizzieren</x:v>
      </x:c>
      <x:c r="E72" s="16" t="str"/>
      <x:c r="F72" s="18" t="n">
        <x:v>2011</x:v>
      </x:c>
      <x:c r="G72" s="18" t="n">
        <x:v>2011</x:v>
      </x:c>
      <x:c r="H72" s="16" t="str">
        <x:v>First/early edition</x:v>
      </x:c>
      <x:c r="I72" s="16" t="str">
        <x:v>Duden</x:v>
      </x:c>
      <x:c r="J72" s="20" t="str">
        <x:v>9783411749119</x:v>
      </x:c>
      <x:c r="K72" s="20" t="str">
        <x:v>3411749113</x:v>
      </x:c>
      <x:c r="L72" s="16" t="str">
        <x:v>German</x:v>
      </x:c>
      <x:c r="M72" s="16" t="str">
        <x:v>Original</x:v>
      </x:c>
      <x:c r="N72" s="16" t="str"/>
      <x:c r="O72" s="16" t="str">
        <x:v>Writing exercises/process</x:v>
      </x:c>
      <x:c r="P72" s="16" t="str">
        <x:v>Tier 3</x:v>
      </x:c>
      <x:c r="Q72" s="16" t="str">
        <x:v>Low</x:v>
      </x:c>
      <x:c r="R72" s="16" t="str">
        <x:v>Observation/note-taking rather than POV; comparison text</x:v>
      </x:c>
      <x:c r="S72" s="16" t="str">
        <x:v>Licensed/library copy likely needed; full-text availability not yet checked</x:v>
      </x:c>
      <x:c r="T72" s="16" t="str">
        <x:v>DNB/HeBIS/Frankfurt holdings not yet systematically checked</x:v>
      </x:c>
      <x:c r="U72" s="20" t="str"/>
      <x:c r="V72" s="20" t="str"/>
      <x:c r="W72" s="16" t="str">
        <x:v>Likely copyrighted; research TDM requires lawful access and applicable §60d UrhG conditions</x:v>
      </x:c>
      <x:c r="X72" s="16" t="str">
        <x:v>https://www.uni-hildesheim.de/lsf/publikationen/publikation/29/</x:v>
      </x:c>
      <x:c r="Y72" s="16" t="str"/>
      <x:c r="Z72" s="16" t="str">
        <x:v>https://portal.dnb.de/opac.htm?method=simpleSearch&amp;query=Schreiben+dicht+am+Leben%3A+Notieren+und+Skizzieren</x:v>
      </x:c>
      <x:c r="AA72" s="16" t="str">
        <x:v>Partial</x:v>
      </x:c>
      <x:c r="AB72" s="16" t="str">
        <x:v>Some catalog records give c2012; author/university bibliography gives 2011.</x:v>
      </x:c>
      <x:c r="AC72" s="16" t="str">
        <x:f>IF(AA72&lt;&gt;"Verified","Verify metadata",IF(P72="Tier 1","Acquire/check full text",IF(P72="Tier 2","Check holdings / acquire if feasible","Review later")))</x:f>
        <x:v>Verify metadata</x:v>
      </x:c>
    </x:row>
    <x:row r="73">
      <x:c r="A73" s="16" t="str">
        <x:v>DE-022</x:v>
      </x:c>
      <x:c r="B73" s="16" t="str">
        <x:v>German</x:v>
      </x:c>
      <x:c r="C73" s="16" t="str">
        <x:v>Hanns-Josef Ortheil; Klaus Siblewski</x:v>
      </x:c>
      <x:c r="D73" s="16" t="str">
        <x:v>Wie Romane entstehen</x:v>
      </x:c>
      <x:c r="E73" s="16" t="str"/>
      <x:c r="F73" s="18" t="n">
        <x:v>2008</x:v>
      </x:c>
      <x:c r="G73" s="18" t="n">
        <x:v>2009</x:v>
      </x:c>
      <x:c r="H73" s="16" t="str">
        <x:v>Selected eBook edition</x:v>
      </x:c>
      <x:c r="I73" s="16" t="str">
        <x:v>Luchterhand</x:v>
      </x:c>
      <x:c r="J73" s="20" t="str">
        <x:v>9783641016616</x:v>
      </x:c>
      <x:c r="K73" s="20" t="str"/>
      <x:c r="L73" s="16" t="str">
        <x:v>German</x:v>
      </x:c>
      <x:c r="M73" s="16" t="str">
        <x:v>Original</x:v>
      </x:c>
      <x:c r="N73" s="16" t="str"/>
      <x:c r="O73" s="16" t="str">
        <x:v>Novel-writing process</x:v>
      </x:c>
      <x:c r="P73" s="16" t="str">
        <x:v>Tier 2</x:v>
      </x:c>
      <x:c r="Q73" s="16" t="str">
        <x:v>Medium</x:v>
      </x:c>
      <x:c r="R73" s="16" t="str">
        <x:v>Novel creation process; likely narrator/perspective discussion</x:v>
      </x:c>
      <x:c r="S73" s="16" t="str">
        <x:v>Licensed/library copy likely needed; full-text availability not yet checked</x:v>
      </x:c>
      <x:c r="T73" s="16" t="str">
        <x:v>DNB/HeBIS/Frankfurt holdings not yet systematically checked</x:v>
      </x:c>
      <x:c r="U73" s="20" t="str"/>
      <x:c r="V73" s="20" t="str"/>
      <x:c r="W73" s="16" t="str">
        <x:v>Likely copyrighted; research TDM requires lawful access and applicable §60d UrhG conditions</x:v>
      </x:c>
      <x:c r="X73" s="16" t="str">
        <x:v>https://books.google.com/books/about/Wie_Romane_entstehen.html?id=FumTNLvYr2YC</x:v>
      </x:c>
      <x:c r="Y73" s="16" t="str"/>
      <x:c r="Z73" s="16" t="str">
        <x:v>https://portal.dnb.de/opac.htm?method=simpleSearch&amp;query=Wie+Romane+entstehen</x:v>
      </x:c>
      <x:c r="AA73" s="16" t="str">
        <x:v>Partial</x:v>
      </x:c>
      <x:c r="AB73" s="16" t="str">
        <x:v>Print edition is commonly dated 2008; selected eBook record is 2009.</x:v>
      </x:c>
      <x:c r="AC73" s="16" t="str">
        <x:f>IF(AA73&lt;&gt;"Verified","Verify metadata",IF(P73="Tier 1","Acquire/check full text",IF(P73="Tier 2","Check holdings / acquire if feasible","Review later")))</x:f>
        <x:v>Verify metadata</x:v>
      </x:c>
    </x:row>
    <x:row r="74">
      <x:c r="A74" s="16" t="str">
        <x:v>DE-023</x:v>
      </x:c>
      <x:c r="B74" s="16" t="str">
        <x:v>German</x:v>
      </x:c>
      <x:c r="C74" s="16" t="str">
        <x:v>Hanns-Josef Ortheil</x:v>
      </x:c>
      <x:c r="D74" s="16" t="str">
        <x:v>Schreiben über mich selbst: Spielformen des autobiografischen Schreibens</x:v>
      </x:c>
      <x:c r="E74" s="16" t="str"/>
      <x:c r="F74" s="18" t="n">
        <x:v>2013</x:v>
      </x:c>
      <x:c r="G74" s="18" t="n">
        <x:v>2013</x:v>
      </x:c>
      <x:c r="H74" s="16" t="str">
        <x:v>First edition</x:v>
      </x:c>
      <x:c r="I74" s="16" t="str">
        <x:v>Duden</x:v>
      </x:c>
      <x:c r="J74" s="20" t="str">
        <x:v>9783411754373</x:v>
      </x:c>
      <x:c r="K74" s="20" t="str">
        <x:v>3411754370</x:v>
      </x:c>
      <x:c r="L74" s="16" t="str">
        <x:v>German</x:v>
      </x:c>
      <x:c r="M74" s="16" t="str">
        <x:v>Original</x:v>
      </x:c>
      <x:c r="N74" s="16" t="str"/>
      <x:c r="O74" s="16" t="str">
        <x:v>Autobiographical writing</x:v>
      </x:c>
      <x:c r="P74" s="16" t="str">
        <x:v>Tier 2</x:v>
      </x:c>
      <x:c r="Q74" s="16" t="str">
        <x:v>Medium</x:v>
      </x:c>
      <x:c r="R74" s="16" t="str">
        <x:v>First-person perspective and self-narration make it conceptually relevant</x:v>
      </x:c>
      <x:c r="S74" s="16" t="str">
        <x:v>Licensed/library copy likely needed; full-text availability not yet checked</x:v>
      </x:c>
      <x:c r="T74" s="16" t="str">
        <x:v>DNB/HeBIS/Frankfurt holdings not yet systematically checked</x:v>
      </x:c>
      <x:c r="U74" s="20" t="str"/>
      <x:c r="V74" s="20" t="str"/>
      <x:c r="W74" s="16" t="str">
        <x:v>Likely copyrighted; research TDM requires lawful access and applicable §60d UrhG conditions</x:v>
      </x:c>
      <x:c r="X74" s="16" t="str">
        <x:v>https://www.thalia.de/shop/home/artikeldetails/A1024665374</x:v>
      </x:c>
      <x:c r="Y74" s="16" t="str"/>
      <x:c r="Z74" s="16" t="str">
        <x:v>https://portal.dnb.de/opac.htm?method=simpleSearch&amp;query=Schreiben+%C3%BCber+mich+selbst%3A+Spielformen+des+autobiografischen+Schreibens</x:v>
      </x:c>
      <x:c r="AA74" s="16" t="str">
        <x:v>Verified</x:v>
      </x:c>
      <x:c r="AB74" s="16" t="str"/>
      <x:c r="AC74" s="16" t="str">
        <x:f>IF(AA74&lt;&gt;"Verified","Verify metadata",IF(P74="Tier 1","Acquire/check full text",IF(P74="Tier 2","Check holdings / acquire if feasible","Review later")))</x:f>
        <x:v>Check holdings / acquire if feasible</x:v>
      </x:c>
    </x:row>
    <x:row r="75">
      <x:c r="A75" s="16" t="str">
        <x:v>DE-024</x:v>
      </x:c>
      <x:c r="B75" s="16" t="str">
        <x:v>German</x:v>
      </x:c>
      <x:c r="C75" s="16" t="str">
        <x:v>Hanns-Josef Ortheil</x:v>
      </x:c>
      <x:c r="D75" s="16" t="str">
        <x:v>Schreiben auf Reisen</x:v>
      </x:c>
      <x:c r="E75" s="16" t="str"/>
      <x:c r="F75" s="18" t="n">
        <x:v>2012</x:v>
      </x:c>
      <x:c r="G75" s="18" t="n">
        <x:v>2012</x:v>
      </x:c>
      <x:c r="H75" s="16" t="str">
        <x:v>First edition</x:v>
      </x:c>
      <x:c r="I75" s="16" t="str">
        <x:v>Duden</x:v>
      </x:c>
      <x:c r="J75" s="20" t="str">
        <x:v>9783411753710</x:v>
      </x:c>
      <x:c r="K75" s="20" t="str">
        <x:v>3411753714</x:v>
      </x:c>
      <x:c r="L75" s="16" t="str">
        <x:v>German</x:v>
      </x:c>
      <x:c r="M75" s="16" t="str">
        <x:v>Original</x:v>
      </x:c>
      <x:c r="N75" s="16" t="str"/>
      <x:c r="O75" s="16" t="str">
        <x:v>Writing exercises/process</x:v>
      </x:c>
      <x:c r="P75" s="16" t="str">
        <x:v>Tier 3</x:v>
      </x:c>
      <x:c r="Q75" s="16" t="str">
        <x:v>Low</x:v>
      </x:c>
      <x:c r="R75" s="16" t="str">
        <x:v>Travel observation/writing; useful comparison</x:v>
      </x:c>
      <x:c r="S75" s="16" t="str">
        <x:v>Licensed/library copy likely needed; full-text availability not yet checked</x:v>
      </x:c>
      <x:c r="T75" s="16" t="str">
        <x:v>DNB/HeBIS/Frankfurt holdings not yet systematically checked</x:v>
      </x:c>
      <x:c r="U75" s="20" t="str"/>
      <x:c r="V75" s="20" t="str"/>
      <x:c r="W75" s="16" t="str">
        <x:v>Likely copyrighted; research TDM requires lawful access and applicable §60d UrhG conditions</x:v>
      </x:c>
      <x:c r="X75" s="16" t="str">
        <x:v>https://www.uni-hildesheim.de/lsf/publikationen/publikation/26/</x:v>
      </x:c>
      <x:c r="Y75" s="16" t="str"/>
      <x:c r="Z75" s="16" t="str">
        <x:v>https://portal.dnb.de/opac.htm?method=simpleSearch&amp;query=Schreiben+auf+Reisen</x:v>
      </x:c>
      <x:c r="AA75" s="16" t="str">
        <x:v>Verified</x:v>
      </x:c>
      <x:c r="AB75" s="16" t="str"/>
      <x:c r="AC75" s="16" t="str">
        <x:f>IF(AA75&lt;&gt;"Verified","Verify metadata",IF(P75="Tier 1","Acquire/check full text",IF(P75="Tier 2","Check holdings / acquire if feasible","Review later")))</x:f>
        <x:v>Review later</x:v>
      </x:c>
    </x:row>
    <x:row r="76">
      <x:c r="A76" s="16" t="str">
        <x:v>DE-025</x:v>
      </x:c>
      <x:c r="B76" s="16" t="str">
        <x:v>German</x:v>
      </x:c>
      <x:c r="C76" s="16" t="str">
        <x:v>Christian Schärf</x:v>
      </x:c>
      <x:c r="D76" s="16" t="str">
        <x:v>Spannend schreiben: Krimi, Mord- und Schauergeschichten</x:v>
      </x:c>
      <x:c r="E76" s="16" t="str"/>
      <x:c r="F76" s="18" t="n">
        <x:v>2012</x:v>
      </x:c>
      <x:c r="G76" s="18" t="n">
        <x:v>2012</x:v>
      </x:c>
      <x:c r="H76" s="16" t="str">
        <x:v>First/early edition</x:v>
      </x:c>
      <x:c r="I76" s="16" t="str">
        <x:v>Duden</x:v>
      </x:c>
      <x:c r="J76" s="20" t="str">
        <x:v>9783411754366</x:v>
      </x:c>
      <x:c r="K76" s="20" t="str">
        <x:v>3411754362</x:v>
      </x:c>
      <x:c r="L76" s="16" t="str">
        <x:v>German</x:v>
      </x:c>
      <x:c r="M76" s="16" t="str">
        <x:v>Original</x:v>
      </x:c>
      <x:c r="N76" s="16" t="str"/>
      <x:c r="O76" s="16" t="str">
        <x:v>Genre-specific craft</x:v>
      </x:c>
      <x:c r="P76" s="16" t="str">
        <x:v>Tier 2</x:v>
      </x:c>
      <x:c r="Q76" s="16" t="str">
        <x:v>Medium</x:v>
      </x:c>
      <x:c r="R76" s="16" t="str">
        <x:v>Narrative suspense and information control are perspective-adjacent</x:v>
      </x:c>
      <x:c r="S76" s="16" t="str">
        <x:v>Licensed/library copy likely needed; full-text availability not yet checked</x:v>
      </x:c>
      <x:c r="T76" s="16" t="str">
        <x:v>DNB/HeBIS/Frankfurt holdings not yet systematically checked</x:v>
      </x:c>
      <x:c r="U76" s="20" t="str"/>
      <x:c r="V76" s="20" t="str"/>
      <x:c r="W76" s="16" t="str">
        <x:v>Likely copyrighted; research TDM requires lawful access and applicable §60d UrhG conditions</x:v>
      </x:c>
      <x:c r="X76" s="16" t="str">
        <x:v>https://de.wikipedia.org/wiki/Christian_Sch%C3%A4rf</x:v>
      </x:c>
      <x:c r="Y76" s="16" t="str"/>
      <x:c r="Z76" s="16" t="str">
        <x:v>https://portal.dnb.de/opac.htm?method=simpleSearch&amp;query=Spannend+schreiben%3A+Krimi%2C+Mord-+und+Schauergeschichten</x:v>
      </x:c>
      <x:c r="AA76" s="16" t="str">
        <x:v>Partial</x:v>
      </x:c>
      <x:c r="AB76" s="16" t="str"/>
      <x:c r="AC76" s="16" t="str">
        <x:f>IF(AA76&lt;&gt;"Verified","Verify metadata",IF(P76="Tier 1","Acquire/check full text",IF(P76="Tier 2","Check holdings / acquire if feasible","Review later")))</x:f>
        <x:v>Verify metadata</x:v>
      </x:c>
    </x:row>
    <x:row r="77">
      <x:c r="A77" s="16" t="str">
        <x:v>DE-026</x:v>
      </x:c>
      <x:c r="B77" s="16" t="str">
        <x:v>German</x:v>
      </x:c>
      <x:c r="C77" s="16" t="str">
        <x:v>Christian Schärf</x:v>
      </x:c>
      <x:c r="D77" s="16" t="str">
        <x:v>Schreiben Tag für Tag: Journal und Tagebuch</x:v>
      </x:c>
      <x:c r="E77" s="16" t="str"/>
      <x:c r="F77" s="18" t="n">
        <x:v>2011</x:v>
      </x:c>
      <x:c r="G77" s="18" t="n">
        <x:v>2011</x:v>
      </x:c>
      <x:c r="H77" s="16" t="str">
        <x:v>First edition</x:v>
      </x:c>
      <x:c r="I77" s="16" t="str">
        <x:v>Duden</x:v>
      </x:c>
      <x:c r="J77" s="20" t="str">
        <x:v>9783411749010</x:v>
      </x:c>
      <x:c r="K77" s="20" t="str">
        <x:v>3411749016</x:v>
      </x:c>
      <x:c r="L77" s="16" t="str">
        <x:v>German</x:v>
      </x:c>
      <x:c r="M77" s="16" t="str">
        <x:v>Original</x:v>
      </x:c>
      <x:c r="N77" s="16" t="str"/>
      <x:c r="O77" s="16" t="str">
        <x:v>Journal/diary writing</x:v>
      </x:c>
      <x:c r="P77" s="16" t="str">
        <x:v>Tier 3</x:v>
      </x:c>
      <x:c r="Q77" s="16" t="str">
        <x:v>Low</x:v>
      </x:c>
      <x:c r="R77" s="16" t="str">
        <x:v>Nonfiction/self-writing comparison corpus</x:v>
      </x:c>
      <x:c r="S77" s="16" t="str">
        <x:v>Licensed/library copy likely needed; full-text availability not yet checked</x:v>
      </x:c>
      <x:c r="T77" s="16" t="str">
        <x:v>DNB/HeBIS/Frankfurt holdings not yet systematically checked</x:v>
      </x:c>
      <x:c r="U77" s="20" t="str"/>
      <x:c r="V77" s="20" t="str"/>
      <x:c r="W77" s="16" t="str">
        <x:v>Likely copyrighted; research TDM requires lawful access and applicable §60d UrhG conditions</x:v>
      </x:c>
      <x:c r="X77" s="16" t="str">
        <x:v>https://homilia.de/2011/11/taglich-schreiben/</x:v>
      </x:c>
      <x:c r="Y77" s="16" t="str"/>
      <x:c r="Z77" s="16" t="str">
        <x:v>https://portal.dnb.de/opac.htm?method=simpleSearch&amp;query=Schreiben+Tag+f%C3%BCr+Tag%3A+Journal+und+Tagebuch</x:v>
      </x:c>
      <x:c r="AA77" s="16" t="str">
        <x:v>Partial</x:v>
      </x:c>
      <x:c r="AB77" s="16" t="str"/>
      <x:c r="AC77" s="16" t="str">
        <x:f>IF(AA77&lt;&gt;"Verified","Verify metadata",IF(P77="Tier 1","Acquire/check full text",IF(P77="Tier 2","Check holdings / acquire if feasible","Review later")))</x:f>
        <x:v>Verify metadata</x:v>
      </x:c>
    </x:row>
    <x:row r="78">
      <x:c r="A78" s="16" t="str">
        <x:v>DE-027</x:v>
      </x:c>
      <x:c r="B78" s="16" t="str">
        <x:v>German</x:v>
      </x:c>
      <x:c r="C78" s="16" t="str">
        <x:v>Stephan Porombka</x:v>
      </x:c>
      <x:c r="D78" s="16" t="str">
        <x:v>Schreiben unter Strom: Experimentieren mit Twitter, Blogs, Facebook &amp; Co.</x:v>
      </x:c>
      <x:c r="E78" s="16" t="str"/>
      <x:c r="F78" s="18" t="n">
        <x:v>2012</x:v>
      </x:c>
      <x:c r="G78" s="18" t="n">
        <x:v>2012</x:v>
      </x:c>
      <x:c r="H78" s="16" t="str">
        <x:v>First edition</x:v>
      </x:c>
      <x:c r="I78" s="16" t="str">
        <x:v>Duden</x:v>
      </x:c>
      <x:c r="J78" s="20" t="str">
        <x:v>9783411749218</x:v>
      </x:c>
      <x:c r="K78" s="20" t="str">
        <x:v>3411749210</x:v>
      </x:c>
      <x:c r="L78" s="16" t="str">
        <x:v>German</x:v>
      </x:c>
      <x:c r="M78" s="16" t="str">
        <x:v>Original</x:v>
      </x:c>
      <x:c r="N78" s="16" t="str"/>
      <x:c r="O78" s="16" t="str">
        <x:v>Digital/experimental writing</x:v>
      </x:c>
      <x:c r="P78" s="16" t="str">
        <x:v>Tier 3</x:v>
      </x:c>
      <x:c r="Q78" s="16" t="str">
        <x:v>Low</x:v>
      </x:c>
      <x:c r="R78" s="16" t="str">
        <x:v>Useful contrast for medium-specific writing discourse</x:v>
      </x:c>
      <x:c r="S78" s="16" t="str">
        <x:v>Licensed/library copy likely needed; full-text availability not yet checked</x:v>
      </x:c>
      <x:c r="T78" s="16" t="str">
        <x:v>DNB/HeBIS/Frankfurt holdings not yet systematically checked</x:v>
      </x:c>
      <x:c r="U78" s="20" t="str"/>
      <x:c r="V78" s="20" t="str"/>
      <x:c r="W78" s="16" t="str">
        <x:v>Likely copyrighted; research TDM requires lawful access and applicable §60d UrhG conditions</x:v>
      </x:c>
      <x:c r="X78" s="16" t="str">
        <x:v>https://onleihe.de/goethe-institut/frontend/mediaInfo%2C0-0-358132446-200-0-0-0-0-0-0-0.html</x:v>
      </x:c>
      <x:c r="Y78" s="16" t="str"/>
      <x:c r="Z78" s="16" t="str">
        <x:v>https://portal.dnb.de/opac.htm?method=simpleSearch&amp;query=Schreiben+unter+Strom%3A+Experimentieren+mit+Twitter%2C+Blogs%2C+Facebook+%26+Co.</x:v>
      </x:c>
      <x:c r="AA78" s="16" t="str">
        <x:v>Verified</x:v>
      </x:c>
      <x:c r="AB78" s="16" t="str"/>
      <x:c r="AC78" s="16" t="str">
        <x:f>IF(AA78&lt;&gt;"Verified","Verify metadata",IF(P78="Tier 1","Acquire/check full text",IF(P78="Tier 2","Check holdings / acquire if feasible","Review later")))</x:f>
        <x:v>Review later</x:v>
      </x:c>
    </x:row>
    <x:row r="79">
      <x:c r="A79" s="16" t="str">
        <x:v>DE-028</x:v>
      </x:c>
      <x:c r="B79" s="16" t="str">
        <x:v>German</x:v>
      </x:c>
      <x:c r="C79" s="16" t="str">
        <x:v>Ulla Mothes</x:v>
      </x:c>
      <x:c r="D79" s="16" t="str">
        <x:v>Kreatives Schreiben</x:v>
      </x:c>
      <x:c r="E79" s="16" t="str"/>
      <x:c r="F79" s="18" t="n">
        <x:v>2007</x:v>
      </x:c>
      <x:c r="G79" s="18" t="n">
        <x:v>2010</x:v>
      </x:c>
      <x:c r="H79" s="16" t="str">
        <x:v>3rd edition</x:v>
      </x:c>
      <x:c r="I79" s="16" t="str">
        <x:v>Autorenhaus / edition indicated in catalog</x:v>
      </x:c>
      <x:c r="J79" s="20" t="str">
        <x:v>9783937909707</x:v>
      </x:c>
      <x:c r="K79" s="20" t="str">
        <x:v>3937909702</x:v>
      </x:c>
      <x:c r="L79" s="16" t="str">
        <x:v>German</x:v>
      </x:c>
      <x:c r="M79" s="16" t="str">
        <x:v>Original</x:v>
      </x:c>
      <x:c r="N79" s="16" t="str"/>
      <x:c r="O79" s="16" t="str">
        <x:v>General creative writing</x:v>
      </x:c>
      <x:c r="P79" s="16" t="str">
        <x:v>Tier 2</x:v>
      </x:c>
      <x:c r="Q79" s="16" t="str">
        <x:v>Medium</x:v>
      </x:c>
      <x:c r="R79" s="16" t="str">
        <x:v>General German creative-writing manual</x:v>
      </x:c>
      <x:c r="S79" s="16" t="str">
        <x:v>Licensed/library copy likely needed; full-text availability not yet checked</x:v>
      </x:c>
      <x:c r="T79" s="16" t="str">
        <x:v>DNB/HeBIS/Frankfurt holdings not yet systematically checked</x:v>
      </x:c>
      <x:c r="U79" s="20" t="str"/>
      <x:c r="V79" s="20" t="str"/>
      <x:c r="W79" s="16" t="str">
        <x:v>Likely copyrighted; research TDM requires lawful access and applicable §60d UrhG conditions</x:v>
      </x:c>
      <x:c r="X79" s="16" t="str">
        <x:v>https://www.ullamothes.de/autorin_werke.php?w=6</x:v>
      </x:c>
      <x:c r="Y79" s="16" t="str"/>
      <x:c r="Z79" s="16" t="str">
        <x:v>https://portal.dnb.de/opac.htm?method=simpleSearch&amp;query=Kreatives+Schreiben</x:v>
      </x:c>
      <x:c r="AA79" s="16" t="str">
        <x:v>Partial</x:v>
      </x:c>
      <x:c r="AB79" s="16" t="str">
        <x:v>Author bibliography supports 2007; selected ISBN/edition metadata should be reconciled with DNB.</x:v>
      </x:c>
      <x:c r="AC79" s="16" t="str">
        <x:f>IF(AA79&lt;&gt;"Verified","Verify metadata",IF(P79="Tier 1","Acquire/check full text",IF(P79="Tier 2","Check holdings / acquire if feasible","Review later")))</x:f>
        <x:v>Verify metadata</x:v>
      </x:c>
    </x:row>
    <x:row r="80">
      <x:c r="A80" s="16" t="str">
        <x:v>DE-029</x:v>
      </x:c>
      <x:c r="B80" s="16" t="str">
        <x:v>German</x:v>
      </x:c>
      <x:c r="C80" s="16" t="str">
        <x:v>Rüdiger Heins</x:v>
      </x:c>
      <x:c r="D80" s="16" t="str">
        <x:v>Handbuch des Kreativen Schreibens</x:v>
      </x:c>
      <x:c r="E80" s="16" t="str"/>
      <x:c r="F80" s="18" t="n">
        <x:v>2005</x:v>
      </x:c>
      <x:c r="G80" s="18" t="n">
        <x:v>2005</x:v>
      </x:c>
      <x:c r="H80" s="16" t="str">
        <x:v>First edition</x:v>
      </x:c>
      <x:c r="I80" s="16" t="str">
        <x:v>Schneider Verlag Hohengehren</x:v>
      </x:c>
      <x:c r="J80" s="20" t="str">
        <x:v>9783834000057</x:v>
      </x:c>
      <x:c r="K80" s="20" t="str">
        <x:v>3834000051</x:v>
      </x:c>
      <x:c r="L80" s="16" t="str">
        <x:v>German</x:v>
      </x:c>
      <x:c r="M80" s="16" t="str">
        <x:v>Original</x:v>
      </x:c>
      <x:c r="N80" s="16" t="str"/>
      <x:c r="O80" s="16" t="str">
        <x:v>General creative writing</x:v>
      </x:c>
      <x:c r="P80" s="16" t="str">
        <x:v>Tier 2</x:v>
      </x:c>
      <x:c r="Q80" s="16" t="str">
        <x:v>Medium</x:v>
      </x:c>
      <x:c r="R80" s="16" t="str">
        <x:v>Broad creative-writing handbook</x:v>
      </x:c>
      <x:c r="S80" s="16" t="str">
        <x:v>Licensed/library copy likely needed; full-text availability not yet checked</x:v>
      </x:c>
      <x:c r="T80" s="16" t="str">
        <x:v>DNB/HeBIS/Frankfurt holdings not yet systematically checked</x:v>
      </x:c>
      <x:c r="U80" s="20" t="str"/>
      <x:c r="V80" s="20" t="str"/>
      <x:c r="W80" s="16" t="str">
        <x:v>Likely copyrighted; research TDM requires lawful access and applicable §60d UrhG conditions</x:v>
      </x:c>
      <x:c r="X80" s="16" t="str">
        <x:v>https://ruedigerheins.de/potraet/</x:v>
      </x:c>
      <x:c r="Y80" s="16" t="str"/>
      <x:c r="Z80" s="16" t="str">
        <x:v>https://portal.dnb.de/opac.htm?method=simpleSearch&amp;query=Handbuch+des+Kreativen+Schreibens</x:v>
      </x:c>
      <x:c r="AA80" s="16" t="str">
        <x:v>Partial</x:v>
      </x:c>
      <x:c r="AB80" s="16" t="str"/>
      <x:c r="AC80" s="16" t="str">
        <x:f>IF(AA80&lt;&gt;"Verified","Verify metadata",IF(P80="Tier 1","Acquire/check full text",IF(P80="Tier 2","Check holdings / acquire if feasible","Review later")))</x:f>
        <x:v>Verify metadata</x:v>
      </x:c>
    </x:row>
    <x:row r="81">
      <x:c r="A81" s="16" t="str">
        <x:v>DE-030</x:v>
      </x:c>
      <x:c r="B81" s="16" t="str">
        <x:v>German</x:v>
      </x:c>
      <x:c r="C81" s="16" t="str">
        <x:v>Valentin Merkelbach, ed.</x:v>
      </x:c>
      <x:c r="D81" s="16" t="str">
        <x:v>Kreatives Schreiben</x:v>
      </x:c>
      <x:c r="E81" s="16" t="str"/>
      <x:c r="F81" s="18" t="n">
        <x:v>1993</x:v>
      </x:c>
      <x:c r="G81" s="18" t="n">
        <x:v>2015</x:v>
      </x:c>
      <x:c r="H81" s="16" t="str">
        <x:v>Reprint/current edition</x:v>
      </x:c>
      <x:c r="I81" s="16" t="str">
        <x:v>Westermann</x:v>
      </x:c>
      <x:c r="J81" s="20" t="str">
        <x:v>9783141620184</x:v>
      </x:c>
      <x:c r="K81" s="20" t="str">
        <x:v>3141620180</x:v>
      </x:c>
      <x:c r="L81" s="16" t="str">
        <x:v>German</x:v>
      </x:c>
      <x:c r="M81" s="16" t="str">
        <x:v>Original</x:v>
      </x:c>
      <x:c r="N81" s="16" t="str"/>
      <x:c r="O81" s="16" t="str">
        <x:v>Creative-writing pedagogy</x:v>
      </x:c>
      <x:c r="P81" s="16" t="str">
        <x:v>Tier 3</x:v>
      </x:c>
      <x:c r="Q81" s="16" t="str">
        <x:v>Low</x:v>
      </x:c>
      <x:c r="R81" s="16" t="str">
        <x:v>Pedagogical tradition; valuable historical comparison</x:v>
      </x:c>
      <x:c r="S81" s="16" t="str">
        <x:v>Licensed/library copy likely needed; full-text availability not yet checked</x:v>
      </x:c>
      <x:c r="T81" s="16" t="str">
        <x:v>DNB/HeBIS/Frankfurt holdings not yet systematically checked</x:v>
      </x:c>
      <x:c r="U81" s="20" t="str"/>
      <x:c r="V81" s="20" t="str"/>
      <x:c r="W81" s="16" t="str">
        <x:v>Likely copyrighted; research TDM requires lawful access and applicable §60d UrhG conditions</x:v>
      </x:c>
      <x:c r="X81" s="16" t="str">
        <x:v>https://www.fachportal-paedagogik.de/literatur/vollanzeige.html?FId=3234572</x:v>
      </x:c>
      <x:c r="Y81" s="16" t="str"/>
      <x:c r="Z81" s="16" t="str">
        <x:v>https://portal.dnb.de/opac.htm?method=simpleSearch&amp;query=Kreatives+Schreiben</x:v>
      </x:c>
      <x:c r="AA81" s="16" t="str">
        <x:v>Verified</x:v>
      </x:c>
      <x:c r="AB81" s="16" t="str"/>
      <x:c r="AC81" s="16" t="str">
        <x:f>IF(AA81&lt;&gt;"Verified","Verify metadata",IF(P81="Tier 1","Acquire/check full text",IF(P81="Tier 2","Check holdings / acquire if feasible","Review later")))</x:f>
        <x:v>Review later</x:v>
      </x:c>
    </x:row>
    <x:row r="82">
      <x:c r="A82" s="16" t="str">
        <x:v>DE-031</x:v>
      </x:c>
      <x:c r="B82" s="16" t="str">
        <x:v>German</x:v>
      </x:c>
      <x:c r="C82" s="16" t="str">
        <x:v>James N. Frey</x:v>
      </x:c>
      <x:c r="D82" s="16" t="str">
        <x:v>Wie man einen verdammt guten Roman schreibt</x:v>
      </x:c>
      <x:c r="E82" s="16" t="str">
        <x:v>How to Write a Damn Good Novel</x:v>
      </x:c>
      <x:c r="F82" s="18" t="n">
        <x:v>2002</x:v>
      </x:c>
      <x:c r="G82" s="18" t="n">
        <x:v>2002</x:v>
      </x:c>
      <x:c r="H82" s="16" t="str">
        <x:v>German edition</x:v>
      </x:c>
      <x:c r="I82" s="16" t="str">
        <x:v>Emons</x:v>
      </x:c>
      <x:c r="J82" s="20" t="str">
        <x:v>9783924491321</x:v>
      </x:c>
      <x:c r="K82" s="20" t="str">
        <x:v>3924491321</x:v>
      </x:c>
      <x:c r="L82" s="16" t="str">
        <x:v>English</x:v>
      </x:c>
      <x:c r="M82" s="16" t="str">
        <x:v>Translation</x:v>
      </x:c>
      <x:c r="N82" s="16" t="str"/>
      <x:c r="O82" s="16" t="str">
        <x:v>Novel craft</x:v>
      </x:c>
      <x:c r="P82" s="16" t="str">
        <x:v>Tier 1</x:v>
      </x:c>
      <x:c r="Q82" s="16" t="str">
        <x:v>High</x:v>
      </x:c>
      <x:c r="R82" s="16" t="str">
        <x:v>German reception of Anglophone novel-craft discourse</x:v>
      </x:c>
      <x:c r="S82" s="16" t="str">
        <x:v>Licensed/library copy likely needed; full-text availability not yet checked</x:v>
      </x:c>
      <x:c r="T82" s="16" t="str">
        <x:v>DNB/HeBIS/Frankfurt holdings not yet systematically checked</x:v>
      </x:c>
      <x:c r="U82" s="20" t="str"/>
      <x:c r="V82" s="20" t="str"/>
      <x:c r="W82" s="16" t="str">
        <x:v>Likely copyrighted; research TDM requires lawful access and applicable §60d UrhG conditions</x:v>
      </x:c>
      <x:c r="X82" s="16" t="str">
        <x:v>https://de.wikipedia.org/wiki/Schriftstellerei</x:v>
      </x:c>
      <x:c r="Y82" s="16" t="str"/>
      <x:c r="Z82" s="16" t="str">
        <x:v>https://portal.dnb.de/opac.htm?method=simpleSearch&amp;query=Wie+man+einen+verdammt+guten+Roman+schreibt</x:v>
      </x:c>
      <x:c r="AA82" s="16" t="str">
        <x:v>Partial</x:v>
      </x:c>
      <x:c r="AB82" s="16" t="str">
        <x:v>German publication data from secondary bibliographic source; translator and exact edition should be authority-checked.</x:v>
      </x:c>
      <x:c r="AC82" s="16" t="str">
        <x:f>IF(AA82&lt;&gt;"Verified","Verify metadata",IF(P82="Tier 1","Acquire/check full text",IF(P82="Tier 2","Check holdings / acquire if feasible","Review later")))</x:f>
        <x:v>Verify metadata</x:v>
      </x:c>
    </x:row>
    <x:row r="83">
      <x:c r="A83" s="16" t="str">
        <x:v>DE-032</x:v>
      </x:c>
      <x:c r="B83" s="16" t="str">
        <x:v>German</x:v>
      </x:c>
      <x:c r="C83" s="16" t="str">
        <x:v>James N. Frey</x:v>
      </x:c>
      <x:c r="D83" s="16" t="str">
        <x:v>Wie man einen verdammt guten Roman schreibt 2</x:v>
      </x:c>
      <x:c r="E83" s="16" t="str">
        <x:v>How to Write a Damn Good Novel II</x:v>
      </x:c>
      <x:c r="F83" s="18" t="n">
        <x:v>1998</x:v>
      </x:c>
      <x:c r="G83" s="18" t="n">
        <x:v>1998</x:v>
      </x:c>
      <x:c r="H83" s="16" t="str">
        <x:v>German edition</x:v>
      </x:c>
      <x:c r="I83" s="16" t="str">
        <x:v>Emons</x:v>
      </x:c>
      <x:c r="J83" s="20" t="str">
        <x:v>9783897051287</x:v>
      </x:c>
      <x:c r="K83" s="20" t="str">
        <x:v>3897051281</x:v>
      </x:c>
      <x:c r="L83" s="16" t="str">
        <x:v>English</x:v>
      </x:c>
      <x:c r="M83" s="16" t="str">
        <x:v>Translation</x:v>
      </x:c>
      <x:c r="N83" s="16" t="str"/>
      <x:c r="O83" s="16" t="str">
        <x:v>Novel craft</x:v>
      </x:c>
      <x:c r="P83" s="16" t="str">
        <x:v>Tier 1</x:v>
      </x:c>
      <x:c r="Q83" s="16" t="str">
        <x:v>High</x:v>
      </x:c>
      <x:c r="R83" s="16" t="str">
        <x:v>Advanced translated novel craft</x:v>
      </x:c>
      <x:c r="S83" s="16" t="str">
        <x:v>Licensed/library copy likely needed; full-text availability not yet checked</x:v>
      </x:c>
      <x:c r="T83" s="16" t="str">
        <x:v>DNB/HeBIS/Frankfurt holdings not yet systematically checked</x:v>
      </x:c>
      <x:c r="U83" s="20" t="str"/>
      <x:c r="V83" s="20" t="str"/>
      <x:c r="W83" s="16" t="str">
        <x:v>Likely copyrighted; research TDM requires lawful access and applicable §60d UrhG conditions</x:v>
      </x:c>
      <x:c r="X83" s="16" t="str">
        <x:v>https://emons-verlag.de/p/wie-man-einen-verdammt-guten-roman-schreibt-2-1085</x:v>
      </x:c>
      <x:c r="Y83" s="16" t="str"/>
      <x:c r="Z83" s="16" t="str">
        <x:v>https://portal.dnb.de/opac.htm?method=simpleSearch&amp;query=Wie+man+einen+verdammt+guten+Roman+schreibt+2</x:v>
      </x:c>
      <x:c r="AA83" s="16" t="str">
        <x:v>Verified</x:v>
      </x:c>
      <x:c r="AB83" s="16" t="str"/>
      <x:c r="AC83" s="16" t="str">
        <x:f>IF(AA83&lt;&gt;"Verified","Verify metadata",IF(P83="Tier 1","Acquire/check full text",IF(P83="Tier 2","Check holdings / acquire if feasible","Review later")))</x:f>
        <x:v>Acquire/check full text</x:v>
      </x:c>
    </x:row>
    <x:row r="84">
      <x:c r="A84" s="16" t="str">
        <x:v>DE-033</x:v>
      </x:c>
      <x:c r="B84" s="16" t="str">
        <x:v>German</x:v>
      </x:c>
      <x:c r="C84" s="16" t="str">
        <x:v>Sol Stein</x:v>
      </x:c>
      <x:c r="D84" s="16" t="str">
        <x:v>Über das Schreiben</x:v>
      </x:c>
      <x:c r="E84" s="16" t="str">
        <x:v>Stein on Writing</x:v>
      </x:c>
      <x:c r="F84" s="18" t="n">
        <x:v>1997</x:v>
      </x:c>
      <x:c r="G84" s="18" t="n">
        <x:v>1997</x:v>
      </x:c>
      <x:c r="H84" s="16" t="str">
        <x:v>German edition</x:v>
      </x:c>
      <x:c r="I84" s="16" t="str">
        <x:v>Zweitausendeins</x:v>
      </x:c>
      <x:c r="J84" s="20" t="str">
        <x:v>9783861502265</x:v>
      </x:c>
      <x:c r="K84" s="20" t="str">
        <x:v>3861502267</x:v>
      </x:c>
      <x:c r="L84" s="16" t="str">
        <x:v>English</x:v>
      </x:c>
      <x:c r="M84" s="16" t="str">
        <x:v>Translation</x:v>
      </x:c>
      <x:c r="N84" s="16" t="str"/>
      <x:c r="O84" s="16" t="str">
        <x:v>General fiction/nonfiction craft</x:v>
      </x:c>
      <x:c r="P84" s="16" t="str">
        <x:v>Tier 1</x:v>
      </x:c>
      <x:c r="Q84" s="16" t="str">
        <x:v>High</x:v>
      </x:c>
      <x:c r="R84" s="16" t="str">
        <x:v>German translation of major Anglophone craft manual</x:v>
      </x:c>
      <x:c r="S84" s="16" t="str">
        <x:v>Licensed/library copy likely needed; full-text availability not yet checked</x:v>
      </x:c>
      <x:c r="T84" s="16" t="str">
        <x:v>DNB/HeBIS/Frankfurt holdings not yet systematically checked</x:v>
      </x:c>
      <x:c r="U84" s="20" t="str"/>
      <x:c r="V84" s="20" t="str"/>
      <x:c r="W84" s="16" t="str">
        <x:v>Likely copyrighted; research TDM requires lawful access and applicable §60d UrhG conditions</x:v>
      </x:c>
      <x:c r="X84" s="16" t="str">
        <x:v>https://www.dieterwunderlich.de/Stein_schreiben.htm</x:v>
      </x:c>
      <x:c r="Y84" s="16" t="str"/>
      <x:c r="Z84" s="16" t="str">
        <x:v>https://portal.dnb.de/opac.htm?method=simpleSearch&amp;query=%C3%9Cber+das+Schreiben</x:v>
      </x:c>
      <x:c r="AA84" s="16" t="str">
        <x:v>Partial</x:v>
      </x:c>
      <x:c r="AB84" s="16" t="str"/>
      <x:c r="AC84" s="16" t="str">
        <x:f>IF(AA84&lt;&gt;"Verified","Verify metadata",IF(P84="Tier 1","Acquire/check full text",IF(P84="Tier 2","Check holdings / acquire if feasible","Review later")))</x:f>
        <x:v>Verify metadata</x:v>
      </x:c>
    </x:row>
    <x:row r="85">
      <x:c r="A85" s="16" t="str">
        <x:v>DE-034</x:v>
      </x:c>
      <x:c r="B85" s="16" t="str">
        <x:v>German</x:v>
      </x:c>
      <x:c r="C85" s="16" t="str">
        <x:v>Sol Stein</x:v>
      </x:c>
      <x:c r="D85" s="16" t="str">
        <x:v>Aufzucht und Pflege eines Romans</x:v>
      </x:c>
      <x:c r="E85" s="16" t="str">
        <x:v>How to Grow a Novel</x:v>
      </x:c>
      <x:c r="F85" s="18" t="n">
        <x:v>2001</x:v>
      </x:c>
      <x:c r="G85" s="18" t="n">
        <x:v>2001</x:v>
      </x:c>
      <x:c r="H85" s="16" t="str">
        <x:v>German edition</x:v>
      </x:c>
      <x:c r="I85" s="16" t="str">
        <x:v>Zweitausendeins</x:v>
      </x:c>
      <x:c r="J85" s="20" t="str">
        <x:v>9783861503644</x:v>
      </x:c>
      <x:c r="K85" s="20" t="str">
        <x:v>3861503646</x:v>
      </x:c>
      <x:c r="L85" s="16" t="str">
        <x:v>English</x:v>
      </x:c>
      <x:c r="M85" s="16" t="str">
        <x:v>Translation</x:v>
      </x:c>
      <x:c r="N85" s="16" t="str"/>
      <x:c r="O85" s="16" t="str">
        <x:v>Novel craft</x:v>
      </x:c>
      <x:c r="P85" s="16" t="str">
        <x:v>Tier 1</x:v>
      </x:c>
      <x:c r="Q85" s="16" t="str">
        <x:v>High</x:v>
      </x:c>
      <x:c r="R85" s="16" t="str">
        <x:v>German translation of novel-craft manual</x:v>
      </x:c>
      <x:c r="S85" s="16" t="str">
        <x:v>Licensed/library copy likely needed; full-text availability not yet checked</x:v>
      </x:c>
      <x:c r="T85" s="16" t="str">
        <x:v>DNB/HeBIS/Frankfurt holdings not yet systematically checked</x:v>
      </x:c>
      <x:c r="U85" s="20" t="str"/>
      <x:c r="V85" s="20" t="str"/>
      <x:c r="W85" s="16" t="str">
        <x:v>Likely copyrighted; research TDM requires lawful access and applicable §60d UrhG conditions</x:v>
      </x:c>
      <x:c r="X85" s="16" t="str">
        <x:v>https://www.dieterwunderlich.de/Stein_roman.htm</x:v>
      </x:c>
      <x:c r="Y85" s="16" t="str"/>
      <x:c r="Z85" s="16" t="str">
        <x:v>https://portal.dnb.de/opac.htm?method=simpleSearch&amp;query=Aufzucht+und+Pflege+eines+Romans</x:v>
      </x:c>
      <x:c r="AA85" s="16" t="str">
        <x:v>Partial</x:v>
      </x:c>
      <x:c r="AB85" s="16" t="str"/>
      <x:c r="AC85" s="16" t="str">
        <x:f>IF(AA85&lt;&gt;"Verified","Verify metadata",IF(P85="Tier 1","Acquire/check full text",IF(P85="Tier 2","Check holdings / acquire if feasible","Review later")))</x:f>
        <x:v>Verify metadata</x:v>
      </x:c>
    </x:row>
    <x:row r="86">
      <x:c r="A86" s="16" t="str">
        <x:v>DE-035</x:v>
      </x:c>
      <x:c r="B86" s="16" t="str">
        <x:v>German</x:v>
      </x:c>
      <x:c r="C86" s="16" t="str">
        <x:v>Lajos Egri</x:v>
      </x:c>
      <x:c r="D86" s="16" t="str">
        <x:v>Literarisches Schreiben</x:v>
      </x:c>
      <x:c r="E86" s="16" t="str">
        <x:v>The Art of Creative Writing</x:v>
      </x:c>
      <x:c r="F86" s="18" t="n">
        <x:v>2002</x:v>
      </x:c>
      <x:c r="G86" s="18" t="n">
        <x:v>2002</x:v>
      </x:c>
      <x:c r="H86" s="16" t="str">
        <x:v>German edition</x:v>
      </x:c>
      <x:c r="I86" s="16" t="str">
        <x:v>Autorenhaus Verlag</x:v>
      </x:c>
      <x:c r="J86" s="20" t="str">
        <x:v>9783932909689</x:v>
      </x:c>
      <x:c r="K86" s="20" t="str">
        <x:v>3932909682</x:v>
      </x:c>
      <x:c r="L86" s="16" t="str">
        <x:v>English</x:v>
      </x:c>
      <x:c r="M86" s="16" t="str">
        <x:v>Translation</x:v>
      </x:c>
      <x:c r="N86" s="16" t="str"/>
      <x:c r="O86" s="16" t="str">
        <x:v>General creative writing</x:v>
      </x:c>
      <x:c r="P86" s="16" t="str">
        <x:v>Tier 1</x:v>
      </x:c>
      <x:c r="Q86" s="16" t="str">
        <x:v>High</x:v>
      </x:c>
      <x:c r="R86" s="16" t="str">
        <x:v>Translated systematic craft manual</x:v>
      </x:c>
      <x:c r="S86" s="16" t="str">
        <x:v>Licensed/library copy likely needed; full-text availability not yet checked</x:v>
      </x:c>
      <x:c r="T86" s="16" t="str">
        <x:v>DNB/HeBIS/Frankfurt holdings not yet systematically checked</x:v>
      </x:c>
      <x:c r="U86" s="20" t="str"/>
      <x:c r="V86" s="20" t="str"/>
      <x:c r="W86" s="16" t="str">
        <x:v>Likely copyrighted; research TDM requires lawful access and applicable §60d UrhG conditions</x:v>
      </x:c>
      <x:c r="X86" s="16" t="str">
        <x:v>https://autorenhaus.de/collections/creative-writing/products/literarisches-schreiben</x:v>
      </x:c>
      <x:c r="Y86" s="16" t="str"/>
      <x:c r="Z86" s="16" t="str">
        <x:v>https://portal.dnb.de/opac.htm?method=simpleSearch&amp;query=Literarisches+Schreiben</x:v>
      </x:c>
      <x:c r="AA86" s="16" t="str">
        <x:v>Partial</x:v>
      </x:c>
      <x:c r="AB86" s="16" t="str"/>
      <x:c r="AC86" s="16" t="str">
        <x:f>IF(AA86&lt;&gt;"Verified","Verify metadata",IF(P86="Tier 1","Acquire/check full text",IF(P86="Tier 2","Check holdings / acquire if feasible","Review later")))</x:f>
        <x:v>Verify metadata</x:v>
      </x:c>
    </x:row>
    <x:row r="87">
      <x:c r="A87" s="16" t="str">
        <x:v>DE-036</x:v>
      </x:c>
      <x:c r="B87" s="16" t="str">
        <x:v>German</x:v>
      </x:c>
      <x:c r="C87" s="16" t="str">
        <x:v>Lajos Egri</x:v>
      </x:c>
      <x:c r="D87" s="16" t="str">
        <x:v>Dramatisches Schreiben</x:v>
      </x:c>
      <x:c r="E87" s="16" t="str">
        <x:v>The Art of Dramatic Writing</x:v>
      </x:c>
      <x:c r="F87" s="18" t="n">
        <x:v>2003</x:v>
      </x:c>
      <x:c r="G87" s="18" t="n">
        <x:v>2003</x:v>
      </x:c>
      <x:c r="H87" s="16" t="str">
        <x:v>German edition</x:v>
      </x:c>
      <x:c r="I87" s="16" t="str">
        <x:v>Autorenhaus Verlag</x:v>
      </x:c>
      <x:c r="J87" s="20" t="str">
        <x:v>9783932909580</x:v>
      </x:c>
      <x:c r="K87" s="20" t="str">
        <x:v>3932909585</x:v>
      </x:c>
      <x:c r="L87" s="16" t="str">
        <x:v>English</x:v>
      </x:c>
      <x:c r="M87" s="16" t="str">
        <x:v>Translation</x:v>
      </x:c>
      <x:c r="N87" s="16" t="str"/>
      <x:c r="O87" s="16" t="str">
        <x:v>Dramatic writing</x:v>
      </x:c>
      <x:c r="P87" s="16" t="str">
        <x:v>Tier 2</x:v>
      </x:c>
      <x:c r="Q87" s="16" t="str">
        <x:v>Medium</x:v>
      </x:c>
      <x:c r="R87" s="16" t="str">
        <x:v>Drama-focused but relevant as comparison of narrative technique terminology</x:v>
      </x:c>
      <x:c r="S87" s="16" t="str">
        <x:v>Licensed/library copy likely needed; full-text availability not yet checked</x:v>
      </x:c>
      <x:c r="T87" s="16" t="str">
        <x:v>DNB/HeBIS/Frankfurt holdings not yet systematically checked</x:v>
      </x:c>
      <x:c r="U87" s="20" t="str"/>
      <x:c r="V87" s="20" t="str"/>
      <x:c r="W87" s="16" t="str">
        <x:v>Likely copyrighted; research TDM requires lawful access and applicable §60d UrhG conditions</x:v>
      </x:c>
      <x:c r="X87" s="16" t="str">
        <x:v>https://autorenhaus.de/</x:v>
      </x:c>
      <x:c r="Y87" s="16" t="str"/>
      <x:c r="Z87" s="16" t="str">
        <x:v>https://portal.dnb.de/opac.htm?method=simpleSearch&amp;query=Dramatisches+Schreiben</x:v>
      </x:c>
      <x:c r="AA87" s="16" t="str">
        <x:v>Partial</x:v>
      </x:c>
      <x:c r="AB87" s="16" t="str">
        <x:v>Edition/ISBN pairing is based on legacy German bibliographic data; verify against DNB before acquisition.</x:v>
      </x:c>
      <x:c r="AC87" s="16" t="str">
        <x:f>IF(AA87&lt;&gt;"Verified","Verify metadata",IF(P87="Tier 1","Acquire/check full text",IF(P87="Tier 2","Check holdings / acquire if feasible","Review later")))</x:f>
        <x:v>Verify metadata</x:v>
      </x:c>
    </x:row>
    <x:row r="88">
      <x:c r="A88" s="16" t="str">
        <x:v>DE-037</x:v>
      </x:c>
      <x:c r="B88" s="16" t="str">
        <x:v>German</x:v>
      </x:c>
      <x:c r="C88" s="16" t="str">
        <x:v>Dorothea Brande</x:v>
      </x:c>
      <x:c r="D88" s="16" t="str">
        <x:v>Schriftsteller werden</x:v>
      </x:c>
      <x:c r="E88" s="16" t="str">
        <x:v>Becoming a Writer</x:v>
      </x:c>
      <x:c r="F88" s="18" t="n">
        <x:v>2001</x:v>
      </x:c>
      <x:c r="G88" s="18" t="n">
        <x:v>2001</x:v>
      </x:c>
      <x:c r="H88" s="16" t="str">
        <x:v>German edition</x:v>
      </x:c>
      <x:c r="I88" s="16" t="str">
        <x:v>Autorenhaus Verlag</x:v>
      </x:c>
      <x:c r="J88" s="20" t="str">
        <x:v>9783932909788</x:v>
      </x:c>
      <x:c r="K88" s="20" t="str">
        <x:v>393290978X</x:v>
      </x:c>
      <x:c r="L88" s="16" t="str">
        <x:v>English</x:v>
      </x:c>
      <x:c r="M88" s="16" t="str">
        <x:v>Translation</x:v>
      </x:c>
      <x:c r="N88" s="16" t="str"/>
      <x:c r="O88" s="16" t="str">
        <x:v>Writing process</x:v>
      </x:c>
      <x:c r="P88" s="16" t="str">
        <x:v>Tier 3</x:v>
      </x:c>
      <x:c r="Q88" s="16" t="str">
        <x:v>Low</x:v>
      </x:c>
      <x:c r="R88" s="16" t="str">
        <x:v>Translated writer-process classic; useful control</x:v>
      </x:c>
      <x:c r="S88" s="16" t="str">
        <x:v>Licensed/library copy likely needed; full-text availability not yet checked</x:v>
      </x:c>
      <x:c r="T88" s="16" t="str">
        <x:v>DNB/HeBIS/Frankfurt holdings not yet systematically checked</x:v>
      </x:c>
      <x:c r="U88" s="20" t="str"/>
      <x:c r="V88" s="20" t="str"/>
      <x:c r="W88" s="16" t="str">
        <x:v>Likely copyrighted; research TDM requires lawful access and applicable §60d UrhG conditions</x:v>
      </x:c>
      <x:c r="X88" s="16" t="str">
        <x:v>https://autorenhaus.de/products/schriftsteller-werden</x:v>
      </x:c>
      <x:c r="Y88" s="16" t="str"/>
      <x:c r="Z88" s="16" t="str">
        <x:v>https://portal.dnb.de/opac.htm?method=simpleSearch&amp;query=Schriftsteller+werden</x:v>
      </x:c>
      <x:c r="AA88" s="16" t="str">
        <x:v>Partial</x:v>
      </x:c>
      <x:c r="AB88" s="16" t="str"/>
      <x:c r="AC88" s="16" t="str">
        <x:f>IF(AA88&lt;&gt;"Verified","Verify metadata",IF(P88="Tier 1","Acquire/check full text",IF(P88="Tier 2","Check holdings / acquire if feasible","Review later")))</x:f>
        <x:v>Verify metadata</x:v>
      </x:c>
    </x:row>
    <x:row r="89">
      <x:c r="A89" s="16" t="str">
        <x:v>DE-038</x:v>
      </x:c>
      <x:c r="B89" s="16" t="str">
        <x:v>German</x:v>
      </x:c>
      <x:c r="C89" s="16" t="str">
        <x:v>Elizabeth George</x:v>
      </x:c>
      <x:c r="D89" s="16" t="str">
        <x:v>Wort für Wort oder Die Kunst, ein gutes Buch zu schreiben</x:v>
      </x:c>
      <x:c r="E89" s="16" t="str">
        <x:v>Write Away</x:v>
      </x:c>
      <x:c r="F89" s="18" t="n">
        <x:v>2004</x:v>
      </x:c>
      <x:c r="G89" s="18" t="n">
        <x:v>2004</x:v>
      </x:c>
      <x:c r="H89" s="16" t="str">
        <x:v>German edition</x:v>
      </x:c>
      <x:c r="I89" s="16" t="str">
        <x:v>Goldmann</x:v>
      </x:c>
      <x:c r="J89" s="20" t="str">
        <x:v>9783442492701</x:v>
      </x:c>
      <x:c r="K89" s="20" t="str">
        <x:v>344249270X</x:v>
      </x:c>
      <x:c r="L89" s="16" t="str">
        <x:v>English</x:v>
      </x:c>
      <x:c r="M89" s="16" t="str">
        <x:v>Translation</x:v>
      </x:c>
      <x:c r="N89" s="16" t="str"/>
      <x:c r="O89" s="16" t="str">
        <x:v>Novel craft</x:v>
      </x:c>
      <x:c r="P89" s="16" t="str">
        <x:v>Tier 1</x:v>
      </x:c>
      <x:c r="Q89" s="16" t="str">
        <x:v>High</x:v>
      </x:c>
      <x:c r="R89" s="16" t="str">
        <x:v>Detailed translated fiction-craft manual</x:v>
      </x:c>
      <x:c r="S89" s="16" t="str">
        <x:v>Licensed/library copy likely needed; full-text availability not yet checked</x:v>
      </x:c>
      <x:c r="T89" s="16" t="str">
        <x:v>DNB/HeBIS/Frankfurt holdings not yet systematically checked</x:v>
      </x:c>
      <x:c r="U89" s="20" t="str"/>
      <x:c r="V89" s="20" t="str"/>
      <x:c r="W89" s="16" t="str">
        <x:v>Likely copyrighted; research TDM requires lawful access and applicable §60d UrhG conditions</x:v>
      </x:c>
      <x:c r="X89" s="16" t="str">
        <x:v>https://www.elizabeth-george.de/weitere-buecher.php?isbn=978-3-442-49270-1</x:v>
      </x:c>
      <x:c r="Y89" s="16" t="str"/>
      <x:c r="Z89" s="16" t="str">
        <x:v>https://portal.dnb.de/opac.htm?method=simpleSearch&amp;query=Wort+f%C3%BCr+Wort+oder+Die+Kunst%2C+ein+gutes+Buch+zu+schreiben</x:v>
      </x:c>
      <x:c r="AA89" s="16" t="str">
        <x:v>Partial</x:v>
      </x:c>
      <x:c r="AB89" s="16" t="str"/>
      <x:c r="AC89" s="16" t="str">
        <x:f>IF(AA89&lt;&gt;"Verified","Verify metadata",IF(P89="Tier 1","Acquire/check full text",IF(P89="Tier 2","Check holdings / acquire if feasible","Review later")))</x:f>
        <x:v>Verify metadata</x:v>
      </x:c>
    </x:row>
    <x:row r="90">
      <x:c r="A90" s="16" t="str">
        <x:v>DE-039</x:v>
      </x:c>
      <x:c r="B90" s="16" t="str">
        <x:v>German</x:v>
      </x:c>
      <x:c r="C90" s="16" t="str">
        <x:v>Elizabeth George</x:v>
      </x:c>
      <x:c r="D90" s="16" t="str">
        <x:v>Meisterklasse: Wie aus einer guten Idee ein perfekter Roman wird</x:v>
      </x:c>
      <x:c r="E90" s="16" t="str">
        <x:v>Mastering the Process</x:v>
      </x:c>
      <x:c r="F90" s="18" t="n">
        <x:v>2022</x:v>
      </x:c>
      <x:c r="G90" s="18" t="n">
        <x:v>2022</x:v>
      </x:c>
      <x:c r="H90" s="16" t="str">
        <x:v>German edition</x:v>
      </x:c>
      <x:c r="I90" s="16" t="str">
        <x:v>Goldmann</x:v>
      </x:c>
      <x:c r="J90" s="20" t="str">
        <x:v>9783442315628</x:v>
      </x:c>
      <x:c r="K90" s="20" t="str">
        <x:v>344231562X</x:v>
      </x:c>
      <x:c r="L90" s="16" t="str">
        <x:v>English</x:v>
      </x:c>
      <x:c r="M90" s="16" t="str">
        <x:v>Translation</x:v>
      </x:c>
      <x:c r="N90" s="16" t="str"/>
      <x:c r="O90" s="16" t="str">
        <x:v>Novel craft</x:v>
      </x:c>
      <x:c r="P90" s="16" t="str">
        <x:v>Tier 1</x:v>
      </x:c>
      <x:c r="Q90" s="16" t="str">
        <x:v>High</x:v>
      </x:c>
      <x:c r="R90" s="16" t="str">
        <x:v>Translated process/craft manual</x:v>
      </x:c>
      <x:c r="S90" s="16" t="str">
        <x:v>Licensed/library copy likely needed; full-text availability not yet checked</x:v>
      </x:c>
      <x:c r="T90" s="16" t="str">
        <x:v>DNB/HeBIS/Frankfurt holdings not yet systematically checked</x:v>
      </x:c>
      <x:c r="U90" s="20" t="str"/>
      <x:c r="V90" s="20" t="str"/>
      <x:c r="W90" s="16" t="str">
        <x:v>Likely copyrighted; research TDM requires lawful access and applicable §60d UrhG conditions</x:v>
      </x:c>
      <x:c r="X90" s="16" t="str">
        <x:v>https://www.thalia.de/shop/home/artikeldetails/A1062456467</x:v>
      </x:c>
      <x:c r="Y90" s="16" t="str"/>
      <x:c r="Z90" s="16" t="str">
        <x:v>https://portal.dnb.de/opac.htm?method=simpleSearch&amp;query=Meisterklasse%3A+Wie+aus+einer+guten+Idee+ein+perfekter+Roman+wird</x:v>
      </x:c>
      <x:c r="AA90" s="16" t="str">
        <x:v>Verified</x:v>
      </x:c>
      <x:c r="AB90" s="16" t="str"/>
      <x:c r="AC90" s="16" t="str">
        <x:f>IF(AA90&lt;&gt;"Verified","Verify metadata",IF(P90="Tier 1","Acquire/check full text",IF(P90="Tier 2","Check holdings / acquire if feasible","Review later")))</x:f>
        <x:v>Acquire/check full text</x:v>
      </x:c>
    </x:row>
    <x:row r="91">
      <x:c r="A91" s="16" t="str">
        <x:v>DE-040</x:v>
      </x:c>
      <x:c r="B91" s="16" t="str">
        <x:v>German</x:v>
      </x:c>
      <x:c r="C91" s="16" t="str">
        <x:v>Anne Bernays; Pamela Painter</x:v>
      </x:c>
      <x:c r="D91" s="16" t="str">
        <x:v>Was wäre, wenn...? Schreibübungen für Schriftsteller</x:v>
      </x:c>
      <x:c r="E91" s="16" t="str">
        <x:v>What If? Writing Exercises for Fiction Writers</x:v>
      </x:c>
      <x:c r="F91" s="18" t="n">
        <x:v>2003</x:v>
      </x:c>
      <x:c r="G91" s="18" t="n">
        <x:v>2003</x:v>
      </x:c>
      <x:c r="H91" s="16" t="str">
        <x:v>German edition</x:v>
      </x:c>
      <x:c r="I91" s="16" t="str">
        <x:v>Alexander Verlag</x:v>
      </x:c>
      <x:c r="J91" s="20" t="str">
        <x:v>9783895810824</x:v>
      </x:c>
      <x:c r="K91" s="20" t="str">
        <x:v>3895810827</x:v>
      </x:c>
      <x:c r="L91" s="16" t="str">
        <x:v>English</x:v>
      </x:c>
      <x:c r="M91" s="16" t="str">
        <x:v>Translation</x:v>
      </x:c>
      <x:c r="N91" s="16" t="str"/>
      <x:c r="O91" s="16" t="str">
        <x:v>Writing exercises</x:v>
      </x:c>
      <x:c r="P91" s="16" t="str">
        <x:v>Tier 2</x:v>
      </x:c>
      <x:c r="Q91" s="16" t="str">
        <x:v>Medium</x:v>
      </x:c>
      <x:c r="R91" s="16" t="str">
        <x:v>Exercises can directly manipulate point of view</x:v>
      </x:c>
      <x:c r="S91" s="16" t="str">
        <x:v>Licensed/library copy likely needed; full-text availability not yet checked</x:v>
      </x:c>
      <x:c r="T91" s="16" t="str">
        <x:v>DNB/HeBIS/Frankfurt holdings not yet systematically checked</x:v>
      </x:c>
      <x:c r="U91" s="20" t="str"/>
      <x:c r="V91" s="20" t="str"/>
      <x:c r="W91" s="16" t="str">
        <x:v>Likely copyrighted; research TDM requires lawful access and applicable §60d UrhG conditions</x:v>
      </x:c>
      <x:c r="X91" s="16" t="str">
        <x:v>https://www.alexander-verlag.com/programm/titel/was-waere-wenn.html</x:v>
      </x:c>
      <x:c r="Y91" s="16" t="str"/>
      <x:c r="Z91" s="16" t="str">
        <x:v>https://portal.dnb.de/opac.htm?method=simpleSearch&amp;query=Was+w%C3%A4re%2C+wenn...%3F+Schreib%C3%BCbungen+f%C3%BCr+Schriftsteller</x:v>
      </x:c>
      <x:c r="AA91" s="16" t="str">
        <x:v>Verified</x:v>
      </x:c>
      <x:c r="AB91" s="16" t="str"/>
      <x:c r="AC91" s="16" t="str">
        <x:f>IF(AA91&lt;&gt;"Verified","Verify metadata",IF(P91="Tier 1","Acquire/check full text",IF(P91="Tier 2","Check holdings / acquire if feasible","Review later")))</x:f>
        <x:v>Check holdings / acquire if feasible</x:v>
      </x:c>
    </x:row>
    <x:row r="92">
      <x:c r="A92" s="16" t="str">
        <x:v>DE-041</x:v>
      </x:c>
      <x:c r="B92" s="16" t="str">
        <x:v>German</x:v>
      </x:c>
      <x:c r="C92" s="16" t="str">
        <x:v>Bonni Goldberg</x:v>
      </x:c>
      <x:c r="D92" s="16" t="str">
        <x:v>Raum zum Schreiben: Creative Writing mit 200 genialen Inspirationen</x:v>
      </x:c>
      <x:c r="E92" s="16" t="str">
        <x:v>Room to Write</x:v>
      </x:c>
      <x:c r="F92" s="18" t="n">
        <x:v>2017</x:v>
      </x:c>
      <x:c r="G92" s="18" t="n">
        <x:v>2017</x:v>
      </x:c>
      <x:c r="H92" s="16" t="str">
        <x:v>German edition</x:v>
      </x:c>
      <x:c r="I92" s="16" t="str">
        <x:v>Autorenhaus Verlag</x:v>
      </x:c>
      <x:c r="J92" s="20" t="str">
        <x:v>9783866711068</x:v>
      </x:c>
      <x:c r="K92" s="20" t="str">
        <x:v>3866711069</x:v>
      </x:c>
      <x:c r="L92" s="16" t="str">
        <x:v>English</x:v>
      </x:c>
      <x:c r="M92" s="16" t="str">
        <x:v>Translation</x:v>
      </x:c>
      <x:c r="N92" s="16" t="str"/>
      <x:c r="O92" s="16" t="str">
        <x:v>Writing exercises/process</x:v>
      </x:c>
      <x:c r="P92" s="16" t="str">
        <x:v>Tier 3</x:v>
      </x:c>
      <x:c r="Q92" s="16" t="str">
        <x:v>Low</x:v>
      </x:c>
      <x:c r="R92" s="16" t="str">
        <x:v>Exercise-based comparison title</x:v>
      </x:c>
      <x:c r="S92" s="16" t="str">
        <x:v>Licensed/library copy likely needed; full-text availability not yet checked</x:v>
      </x:c>
      <x:c r="T92" s="16" t="str">
        <x:v>DNB/HeBIS/Frankfurt holdings not yet systematically checked</x:v>
      </x:c>
      <x:c r="U92" s="20" t="str"/>
      <x:c r="V92" s="20" t="str"/>
      <x:c r="W92" s="16" t="str">
        <x:v>Likely copyrighted; research TDM requires lawful access and applicable §60d UrhG conditions</x:v>
      </x:c>
      <x:c r="X92" s="16" t="str">
        <x:v>https://www.litnity.com/book/raum-zum-schreiben-bonni-goldberg/</x:v>
      </x:c>
      <x:c r="Y92" s="16" t="str"/>
      <x:c r="Z92" s="16" t="str">
        <x:v>https://portal.dnb.de/opac.htm?method=simpleSearch&amp;query=Raum+zum+Schreiben%3A+Creative+Writing+mit+200+genialen+Inspirationen</x:v>
      </x:c>
      <x:c r="AA92" s="16" t="str">
        <x:v>Partial</x:v>
      </x:c>
      <x:c r="AB92" s="16" t="str">
        <x:v>A later bookseller record lists 2019 for the same ISBN; 2017 publication record retained pending DNB reconciliation.</x:v>
      </x:c>
      <x:c r="AC92" s="16" t="str">
        <x:f>IF(AA92&lt;&gt;"Verified","Verify metadata",IF(P92="Tier 1","Acquire/check full text",IF(P92="Tier 2","Check holdings / acquire if feasible","Review later")))</x:f>
        <x:v>Verify metadata</x:v>
      </x:c>
    </x:row>
    <x:row r="93">
      <x:c r="A93" s="16" t="str">
        <x:v>DE-042</x:v>
      </x:c>
      <x:c r="B93" s="16" t="str">
        <x:v>German</x:v>
      </x:c>
      <x:c r="C93" s="16" t="str">
        <x:v>Ronald B. Tobias</x:v>
      </x:c>
      <x:c r="D93" s="16" t="str">
        <x:v>20 Masterplots: Die Basis des Story-Building in Roman und Film</x:v>
      </x:c>
      <x:c r="E93" s="16" t="str">
        <x:v>20 Masterplots (and How to Build Them)</x:v>
      </x:c>
      <x:c r="F93" s="18" t="n">
        <x:v>2016</x:v>
      </x:c>
      <x:c r="G93" s="18" t="n">
        <x:v>2016</x:v>
      </x:c>
      <x:c r="H93" s="16" t="str">
        <x:v>German new edition</x:v>
      </x:c>
      <x:c r="I93" s="16" t="str">
        <x:v>Autorenhaus Verlag</x:v>
      </x:c>
      <x:c r="J93" s="20" t="str">
        <x:v>9783866711310</x:v>
      </x:c>
      <x:c r="K93" s="20" t="str">
        <x:v>386671131X</x:v>
      </x:c>
      <x:c r="L93" s="16" t="str">
        <x:v>English</x:v>
      </x:c>
      <x:c r="M93" s="16" t="str">
        <x:v>Translation</x:v>
      </x:c>
      <x:c r="N93" s="16" t="str">
        <x:v>Petra Schreyer</x:v>
      </x:c>
      <x:c r="O93" s="16" t="str">
        <x:v>Plot/structure</x:v>
      </x:c>
      <x:c r="P93" s="16" t="str">
        <x:v>Tier 2</x:v>
      </x:c>
      <x:c r="Q93" s="16" t="str">
        <x:v>Medium</x:v>
      </x:c>
      <x:c r="R93" s="16" t="str">
        <x:v>Plot-centered translated manual; perspective as secondary context</x:v>
      </x:c>
      <x:c r="S93" s="16" t="str">
        <x:v>Licensed/library copy likely needed; full-text availability not yet checked</x:v>
      </x:c>
      <x:c r="T93" s="16" t="str">
        <x:v>DNB/HeBIS/Frankfurt holdings not yet systematically checked</x:v>
      </x:c>
      <x:c r="U93" s="20" t="str"/>
      <x:c r="V93" s="20" t="str"/>
      <x:c r="W93" s="16" t="str">
        <x:v>Likely copyrighted; research TDM requires lawful access and applicable §60d UrhG conditions</x:v>
      </x:c>
      <x:c r="X93" s="16" t="str">
        <x:v>https://www.hugendubel.de/de/buch_gebunden/ronald_b_tobias-20_masterplots_die_basis_des_story_building_in_roman_und_film-25667951-produkt-details.html</x:v>
      </x:c>
      <x:c r="Y93" s="16" t="str"/>
      <x:c r="Z93" s="16" t="str">
        <x:v>https://portal.dnb.de/opac.htm?method=simpleSearch&amp;query=20+Masterplots%3A+Die+Basis+des+Story-Building+in+Roman+und+Film</x:v>
      </x:c>
      <x:c r="AA93" s="16" t="str">
        <x:v>Verified</x:v>
      </x:c>
      <x:c r="AB93" s="16" t="str"/>
      <x:c r="AC93" s="16" t="str">
        <x:f>IF(AA93&lt;&gt;"Verified","Verify metadata",IF(P93="Tier 1","Acquire/check full text",IF(P93="Tier 2","Check holdings / acquire if feasible","Review later")))</x:f>
        <x:v>Check holdings / acquire if feasible</x:v>
      </x:c>
    </x:row>
    <x:row r="94">
      <x:c r="A94" s="16" t="str">
        <x:v>DE-043</x:v>
      </x:c>
      <x:c r="B94" s="16" t="str">
        <x:v>German</x:v>
      </x:c>
      <x:c r="C94" s="16" t="str">
        <x:v>Patricia Highsmith</x:v>
      </x:c>
      <x:c r="D94" s="16" t="str">
        <x:v>Suspense oder Wie man einen Thriller schreibt</x:v>
      </x:c>
      <x:c r="E94" s="16" t="str">
        <x:v>Plotting and Writing Suspense Fiction</x:v>
      </x:c>
      <x:c r="F94" s="18" t="n">
        <x:v>1985</x:v>
      </x:c>
      <x:c r="G94" s="18" t="n">
        <x:v>1985</x:v>
      </x:c>
      <x:c r="H94" s="16" t="str">
        <x:v>German edition</x:v>
      </x:c>
      <x:c r="I94" s="16" t="str">
        <x:v>Diogenes</x:v>
      </x:c>
      <x:c r="J94" s="20" t="str">
        <x:v>9783257016857</x:v>
      </x:c>
      <x:c r="K94" s="20" t="str">
        <x:v>3257016859</x:v>
      </x:c>
      <x:c r="L94" s="16" t="str">
        <x:v>English</x:v>
      </x:c>
      <x:c r="M94" s="16" t="str">
        <x:v>Translation</x:v>
      </x:c>
      <x:c r="N94" s="16" t="str"/>
      <x:c r="O94" s="16" t="str">
        <x:v>Genre-specific craft</x:v>
      </x:c>
      <x:c r="P94" s="16" t="str">
        <x:v>Tier 1</x:v>
      </x:c>
      <x:c r="Q94" s="16" t="str">
        <x:v>High</x:v>
      </x:c>
      <x:c r="R94" s="16" t="str">
        <x:v>Suspense information control and viewpoint are highly relevant</x:v>
      </x:c>
      <x:c r="S94" s="16" t="str">
        <x:v>Licensed/library copy likely needed; full-text availability not yet checked</x:v>
      </x:c>
      <x:c r="T94" s="16" t="str">
        <x:v>DNB/HeBIS/Frankfurt holdings not yet systematically checked</x:v>
      </x:c>
      <x:c r="U94" s="20" t="str"/>
      <x:c r="V94" s="20" t="str"/>
      <x:c r="W94" s="16" t="str">
        <x:v>Likely copyrighted; research TDM requires lawful access and applicable §60d UrhG conditions</x:v>
      </x:c>
      <x:c r="X94" s="16" t="str">
        <x:v>https://www.deutsche-digitale-bibliothek.de/item/KMNUVU73HO35SZOQQZIYTTFJW74MBO4P</x:v>
      </x:c>
      <x:c r="Y94" s="16" t="str"/>
      <x:c r="Z94" s="16" t="str">
        <x:v>https://portal.dnb.de/opac.htm?method=simpleSearch&amp;query=Suspense+oder+Wie+man+einen+Thriller+schreibt</x:v>
      </x:c>
      <x:c r="AA94" s="16" t="str">
        <x:v>Verified</x:v>
      </x:c>
      <x:c r="AB94" s="16" t="str"/>
      <x:c r="AC94" s="16" t="str">
        <x:f>IF(AA94&lt;&gt;"Verified","Verify metadata",IF(P94="Tier 1","Acquire/check full text",IF(P94="Tier 2","Check holdings / acquire if feasible","Review later")))</x:f>
        <x:v>Acquire/check full text</x:v>
      </x:c>
    </x:row>
    <x:row r="95">
      <x:c r="A95" s="16" t="str">
        <x:v>DE-044</x:v>
      </x:c>
      <x:c r="B95" s="16" t="str">
        <x:v>German</x:v>
      </x:c>
      <x:c r="C95" s="16" t="str">
        <x:v>Natalie Goldberg</x:v>
      </x:c>
      <x:c r="D95" s="16" t="str">
        <x:v>Schreiben in Cafés</x:v>
      </x:c>
      <x:c r="E95" s="16" t="str">
        <x:v>Writing Down the Bones</x:v>
      </x:c>
      <x:c r="F95" s="18" t="n">
        <x:v>2006</x:v>
      </x:c>
      <x:c r="G95" s="18" t="n">
        <x:v>2006</x:v>
      </x:c>
      <x:c r="H95" s="16" t="str">
        <x:v>German edition</x:v>
      </x:c>
      <x:c r="I95" s="16" t="str">
        <x:v>Autorenhaus Verlag</x:v>
      </x:c>
      <x:c r="J95" s="20" t="str">
        <x:v>9783866710160</x:v>
      </x:c>
      <x:c r="K95" s="20" t="str">
        <x:v>386671016X</x:v>
      </x:c>
      <x:c r="L95" s="16" t="str">
        <x:v>English</x:v>
      </x:c>
      <x:c r="M95" s="16" t="str">
        <x:v>Translation</x:v>
      </x:c>
      <x:c r="N95" s="16" t="str">
        <x:v>Kerstin Winter</x:v>
      </x:c>
      <x:c r="O95" s="16" t="str">
        <x:v>Writing process/exercises</x:v>
      </x:c>
      <x:c r="P95" s="16" t="str">
        <x:v>Tier 3</x:v>
      </x:c>
      <x:c r="Q95" s="16" t="str">
        <x:v>Low</x:v>
      </x:c>
      <x:c r="R95" s="16" t="str">
        <x:v>Freewriting/process orientation; useful control corpus</x:v>
      </x:c>
      <x:c r="S95" s="16" t="str">
        <x:v>Licensed/library copy likely needed; full-text availability not yet checked</x:v>
      </x:c>
      <x:c r="T95" s="16" t="str">
        <x:v>DNB/HeBIS/Frankfurt holdings not yet systematically checked</x:v>
      </x:c>
      <x:c r="U95" s="20" t="str"/>
      <x:c r="V95" s="20" t="str"/>
      <x:c r="W95" s="16" t="str">
        <x:v>Likely copyrighted; research TDM requires lawful access and applicable §60d UrhG conditions</x:v>
      </x:c>
      <x:c r="X95" s="16" t="str">
        <x:v>https://www.lehmanns.de/shop/sachbuch-ratgeber/7655818-9783866710160-schreiben-in-cafes</x:v>
      </x:c>
      <x:c r="Y95" s="16" t="str"/>
      <x:c r="Z95" s="16" t="str">
        <x:v>https://portal.dnb.de/opac.htm?method=simpleSearch&amp;query=Schreiben+in+Caf%C3%A9s</x:v>
      </x:c>
      <x:c r="AA95" s="16" t="str">
        <x:v>Verified</x:v>
      </x:c>
      <x:c r="AB95" s="16" t="str"/>
      <x:c r="AC95" s="16" t="str">
        <x:f>IF(AA95&lt;&gt;"Verified","Verify metadata",IF(P95="Tier 1","Acquire/check full text",IF(P95="Tier 2","Check holdings / acquire if feasible","Review later")))</x:f>
        <x:v>Review later</x:v>
      </x:c>
    </x:row>
    <x:row r="96">
      <x:c r="A96" s="16" t="str">
        <x:v>DE-045</x:v>
      </x:c>
      <x:c r="B96" s="16" t="str">
        <x:v>German</x:v>
      </x:c>
      <x:c r="C96" s="16" t="str">
        <x:v>Natalie Goldberg</x:v>
      </x:c>
      <x:c r="D96" s="16" t="str">
        <x:v>Wild Mind – Freies Schreiben</x:v>
      </x:c>
      <x:c r="E96" s="16" t="str">
        <x:v>Wild Mind</x:v>
      </x:c>
      <x:c r="F96" s="18" t="n">
        <x:v>2005</x:v>
      </x:c>
      <x:c r="G96" s="18" t="n">
        <x:v>2005</x:v>
      </x:c>
      <x:c r="H96" s="16" t="str">
        <x:v>German edition</x:v>
      </x:c>
      <x:c r="I96" s="16" t="str">
        <x:v>Autorenhaus Verlag</x:v>
      </x:c>
      <x:c r="J96" s="20" t="str">
        <x:v>9783932909436</x:v>
      </x:c>
      <x:c r="K96" s="20" t="str">
        <x:v>3932909437</x:v>
      </x:c>
      <x:c r="L96" s="16" t="str">
        <x:v>English</x:v>
      </x:c>
      <x:c r="M96" s="16" t="str">
        <x:v>Translation</x:v>
      </x:c>
      <x:c r="N96" s="16" t="str"/>
      <x:c r="O96" s="16" t="str">
        <x:v>Writing process/exercises</x:v>
      </x:c>
      <x:c r="P96" s="16" t="str">
        <x:v>Tier 3</x:v>
      </x:c>
      <x:c r="Q96" s="16" t="str">
        <x:v>Low</x:v>
      </x:c>
      <x:c r="R96" s="16" t="str">
        <x:v>Freewriting/process orientation</x:v>
      </x:c>
      <x:c r="S96" s="16" t="str">
        <x:v>Licensed/library copy likely needed; full-text availability not yet checked</x:v>
      </x:c>
      <x:c r="T96" s="16" t="str">
        <x:v>DNB/HeBIS/Frankfurt holdings not yet systematically checked</x:v>
      </x:c>
      <x:c r="U96" s="20" t="str"/>
      <x:c r="V96" s="20" t="str"/>
      <x:c r="W96" s="16" t="str">
        <x:v>Likely copyrighted; research TDM requires lawful access and applicable §60d UrhG conditions</x:v>
      </x:c>
      <x:c r="X96" s="16" t="str">
        <x:v>https://de.wikipedia.org/wiki/Natalie_Goldberg</x:v>
      </x:c>
      <x:c r="Y96" s="16" t="str"/>
      <x:c r="Z96" s="16" t="str">
        <x:v>https://portal.dnb.de/opac.htm?method=simpleSearch&amp;query=Wild+Mind+%E2%80%93+Freies+Schreiben</x:v>
      </x:c>
      <x:c r="AA96" s="16" t="str">
        <x:v>Partial</x:v>
      </x:c>
      <x:c r="AB96" s="16" t="str"/>
      <x:c r="AC96" s="16" t="str">
        <x:f>IF(AA96&lt;&gt;"Verified","Verify metadata",IF(P96="Tier 1","Acquire/check full text",IF(P96="Tier 2","Check holdings / acquire if feasible","Review later")))</x:f>
        <x:v>Verify metadata</x:v>
      </x:c>
    </x:row>
    <x:row r="97">
      <x:c r="A97" s="16" t="str">
        <x:v>DE-046</x:v>
      </x:c>
      <x:c r="B97" s="16" t="str">
        <x:v>German</x:v>
      </x:c>
      <x:c r="C97" s="16" t="str">
        <x:v>Gabriele Lusser Rico</x:v>
      </x:c>
      <x:c r="D97" s="16" t="str">
        <x:v>Garantiert schreiben lernen</x:v>
      </x:c>
      <x:c r="E97" s="16" t="str">
        <x:v>Writing the Natural Way</x:v>
      </x:c>
      <x:c r="F97" s="18" t="n">
        <x:v>2004</x:v>
      </x:c>
      <x:c r="G97" s="18" t="n">
        <x:v>2004</x:v>
      </x:c>
      <x:c r="H97" s="16" t="str">
        <x:v>German special edition</x:v>
      </x:c>
      <x:c r="I97" s="16" t="str">
        <x:v>Rowohlt Taschenbuch</x:v>
      </x:c>
      <x:c r="J97" s="20" t="str">
        <x:v>9783499616853</x:v>
      </x:c>
      <x:c r="K97" s="20" t="str">
        <x:v>3499616858</x:v>
      </x:c>
      <x:c r="L97" s="16" t="str">
        <x:v>English</x:v>
      </x:c>
      <x:c r="M97" s="16" t="str">
        <x:v>Translation</x:v>
      </x:c>
      <x:c r="N97" s="16" t="str"/>
      <x:c r="O97" s="16" t="str">
        <x:v>Writing process/creative writing</x:v>
      </x:c>
      <x:c r="P97" s="16" t="str">
        <x:v>Tier 3</x:v>
      </x:c>
      <x:c r="Q97" s="16" t="str">
        <x:v>Low</x:v>
      </x:c>
      <x:c r="R97" s="16" t="str">
        <x:v>Process/creativity method; useful control for non-POV writing instruction</x:v>
      </x:c>
      <x:c r="S97" s="16" t="str">
        <x:v>Licensed/library copy likely needed; full-text availability not yet checked</x:v>
      </x:c>
      <x:c r="T97" s="16" t="str">
        <x:v>DNB/HeBIS/Frankfurt holdings not yet systematically checked</x:v>
      </x:c>
      <x:c r="U97" s="20" t="str"/>
      <x:c r="V97" s="20" t="str"/>
      <x:c r="W97" s="16" t="str">
        <x:v>Likely copyrighted; research TDM requires lawful access and applicable §60d UrhG conditions</x:v>
      </x:c>
      <x:c r="X97" s="16" t="str">
        <x:v>https://www.goodreads.com/work/editions/138192-writing-the-natural-way</x:v>
      </x:c>
      <x:c r="Y97" s="16" t="str"/>
      <x:c r="Z97" s="16" t="str">
        <x:v>https://portal.dnb.de/opac.htm?method=simpleSearch&amp;query=Garantiert+schreiben+lernen</x:v>
      </x:c>
      <x:c r="AA97" s="16" t="str">
        <x:v>Verified</x:v>
      </x:c>
      <x:c r="AB97" s="16" t="str"/>
      <x:c r="AC97" s="16" t="str">
        <x:f>IF(AA97&lt;&gt;"Verified","Verify metadata",IF(P97="Tier 1","Acquire/check full text",IF(P97="Tier 2","Check holdings / acquire if feasible","Review later")))</x:f>
        <x:v>Review later</x:v>
      </x:c>
    </x:row>
    <x:row r="98">
      <x:c r="A98" s="16" t="str">
        <x:v>DE-047</x:v>
      </x:c>
      <x:c r="B98" s="16" t="str">
        <x:v>German</x:v>
      </x:c>
      <x:c r="C98" s="16" t="str">
        <x:v>Ray Bradbury</x:v>
      </x:c>
      <x:c r="D98" s="16" t="str">
        <x:v>Zen in der Kunst des Schreibens: Kreativtechniken eines Schriftstellers von Weltrang</x:v>
      </x:c>
      <x:c r="E98" s="16" t="str">
        <x:v>Zen in the Art of Writing</x:v>
      </x:c>
      <x:c r="F98" s="18" t="n">
        <x:v>2003</x:v>
      </x:c>
      <x:c r="G98" s="18" t="n">
        <x:v>2016</x:v>
      </x:c>
      <x:c r="H98" s="16" t="str">
        <x:v>3rd German edition</x:v>
      </x:c>
      <x:c r="I98" s="16" t="str">
        <x:v>Autorenhaus Verlag</x:v>
      </x:c>
      <x:c r="J98" s="20" t="str">
        <x:v>9783866711358</x:v>
      </x:c>
      <x:c r="K98" s="20" t="str">
        <x:v>3866711352</x:v>
      </x:c>
      <x:c r="L98" s="16" t="str">
        <x:v>English</x:v>
      </x:c>
      <x:c r="M98" s="16" t="str">
        <x:v>Translation</x:v>
      </x:c>
      <x:c r="N98" s="16" t="str">
        <x:v>Kerstin Winter</x:v>
      </x:c>
      <x:c r="O98" s="16" t="str">
        <x:v>Craft essays/memoir</x:v>
      </x:c>
      <x:c r="P98" s="16" t="str">
        <x:v>Tier 2</x:v>
      </x:c>
      <x:c r="Q98" s="16" t="str">
        <x:v>Medium</x:v>
      </x:c>
      <x:c r="R98" s="16" t="str">
        <x:v>Authorial craft essays; some perspective relevance</x:v>
      </x:c>
      <x:c r="S98" s="16" t="str">
        <x:v>Licensed/library copy likely needed; full-text availability not yet checked</x:v>
      </x:c>
      <x:c r="T98" s="16" t="str">
        <x:v>DNB/HeBIS/Frankfurt holdings not yet systematically checked</x:v>
      </x:c>
      <x:c r="U98" s="20" t="str"/>
      <x:c r="V98" s="20" t="str"/>
      <x:c r="W98" s="16" t="str">
        <x:v>Likely copyrighted; research TDM requires lawful access and applicable §60d UrhG conditions</x:v>
      </x:c>
      <x:c r="X98" s="16" t="str">
        <x:v>https://www.hugendubel.de/de/buch_gebunden/ray_bradbury-zen_in_der_kunst_des_schreibens_kreativtechniken_eines_schriftstellers_von_weltrang-26099963-produkt-details.html</x:v>
      </x:c>
      <x:c r="Y98" s="16" t="str"/>
      <x:c r="Z98" s="16" t="str">
        <x:v>https://portal.dnb.de/opac.htm?method=simpleSearch&amp;query=Zen+in+der+Kunst+des+Schreibens%3A+Kreativtechniken+eines+Schriftstellers+von+Weltrang</x:v>
      </x:c>
      <x:c r="AA98" s="16" t="str">
        <x:v>Partial</x:v>
      </x:c>
      <x:c r="AB98" s="16" t="str">
        <x:v>Selected 2016 edition verified; German first-edition year is recorded as 2003 in secondary bibliographic data.</x:v>
      </x:c>
      <x:c r="AC98" s="16" t="str">
        <x:f>IF(AA98&lt;&gt;"Verified","Verify metadata",IF(P98="Tier 1","Acquire/check full text",IF(P98="Tier 2","Check holdings / acquire if feasible","Review later")))</x:f>
        <x:v>Verify metadata</x:v>
      </x:c>
    </x:row>
    <x:row r="99">
      <x:c r="A99" s="16" t="str">
        <x:v>DE-048</x:v>
      </x:c>
      <x:c r="B99" s="16" t="str">
        <x:v>German</x:v>
      </x:c>
      <x:c r="C99" s="16" t="str">
        <x:v>Louise Doughty</x:v>
      </x:c>
      <x:c r="D99" s="16" t="str">
        <x:v>Ein Roman in einem Jahr: Eine Anleitung in 52 Kapiteln</x:v>
      </x:c>
      <x:c r="E99" s="16" t="str">
        <x:v>A Novel in a Year</x:v>
      </x:c>
      <x:c r="F99" s="18" t="n">
        <x:v>2008</x:v>
      </x:c>
      <x:c r="G99" s="18" t="n">
        <x:v>2024</x:v>
      </x:c>
      <x:c r="H99" s="16" t="str">
        <x:v>5th German edition</x:v>
      </x:c>
      <x:c r="I99" s="16" t="str">
        <x:v>Autorenhaus Verlag</x:v>
      </x:c>
      <x:c r="J99" s="20" t="str">
        <x:v>9783866710719</x:v>
      </x:c>
      <x:c r="K99" s="20" t="str">
        <x:v>3866710714</x:v>
      </x:c>
      <x:c r="L99" s="16" t="str">
        <x:v>English</x:v>
      </x:c>
      <x:c r="M99" s="16" t="str">
        <x:v>Translation</x:v>
      </x:c>
      <x:c r="N99" s="16" t="str"/>
      <x:c r="O99" s="16" t="str">
        <x:v>Novel craft</x:v>
      </x:c>
      <x:c r="P99" s="16" t="str">
        <x:v>Tier 2</x:v>
      </x:c>
      <x:c r="Q99" s="16" t="str">
        <x:v>Medium</x:v>
      </x:c>
      <x:c r="R99" s="16" t="str">
        <x:v>Structured novel-writing course; likely narrative perspective coverage</x:v>
      </x:c>
      <x:c r="S99" s="16" t="str">
        <x:v>Licensed/library copy likely needed; full-text availability not yet checked</x:v>
      </x:c>
      <x:c r="T99" s="16" t="str">
        <x:v>DNB/HeBIS/Frankfurt holdings not yet systematically checked</x:v>
      </x:c>
      <x:c r="U99" s="20" t="str"/>
      <x:c r="V99" s="20" t="str"/>
      <x:c r="W99" s="16" t="str">
        <x:v>Likely copyrighted; research TDM requires lawful access and applicable §60d UrhG conditions</x:v>
      </x:c>
      <x:c r="X99" s="16" t="str">
        <x:v>https://www.thalia.de/shop/home/artikeldetails/A1008445762</x:v>
      </x:c>
      <x:c r="Y99" s="16" t="str"/>
      <x:c r="Z99" s="16" t="str">
        <x:v>https://portal.dnb.de/opac.htm?method=simpleSearch&amp;query=Ein+Roman+in+einem+Jahr%3A+Eine+Anleitung+in+52+Kapiteln</x:v>
      </x:c>
      <x:c r="AA99" s="16" t="str">
        <x:v>Partial</x:v>
      </x:c>
      <x:c r="AB99" s="16" t="str"/>
      <x:c r="AC99" s="16" t="str">
        <x:f>IF(AA99&lt;&gt;"Verified","Verify metadata",IF(P99="Tier 1","Acquire/check full text",IF(P99="Tier 2","Check holdings / acquire if feasible","Review later")))</x:f>
        <x:v>Verify metadata</x:v>
      </x:c>
    </x:row>
    <x:row r="100">
      <x:c r="A100" s="16" t="str">
        <x:v>DE-049</x:v>
      </x:c>
      <x:c r="B100" s="16" t="str">
        <x:v>German</x:v>
      </x:c>
      <x:c r="C100" s="16" t="str">
        <x:v>Christopher Vogler</x:v>
      </x:c>
      <x:c r="D100" s="16" t="str">
        <x:v>Die Odyssee der Drehbuchschreiber, Romanautoren und Dramatiker</x:v>
      </x:c>
      <x:c r="E100" s="16" t="str">
        <x:v>The Writer's Journey: Mythic Structure for Writers</x:v>
      </x:c>
      <x:c r="F100" s="18"/>
      <x:c r="G100" s="18" t="n">
        <x:v>2018</x:v>
      </x:c>
      <x:c r="H100" s="16" t="str">
        <x:v>German edition</x:v>
      </x:c>
      <x:c r="I100" s="16" t="str">
        <x:v>Autorenhaus Verlag</x:v>
      </x:c>
      <x:c r="J100" s="20" t="str">
        <x:v>9783866711471</x:v>
      </x:c>
      <x:c r="K100" s="20" t="str">
        <x:v>3866711476</x:v>
      </x:c>
      <x:c r="L100" s="16" t="str">
        <x:v>English</x:v>
      </x:c>
      <x:c r="M100" s="16" t="str">
        <x:v>Translation</x:v>
      </x:c>
      <x:c r="N100" s="16" t="str">
        <x:v>Frank Kuhnke</x:v>
      </x:c>
      <x:c r="O100" s="16" t="str">
        <x:v>Plot/structure</x:v>
      </x:c>
      <x:c r="P100" s="16" t="str">
        <x:v>Tier 2</x:v>
      </x:c>
      <x:c r="Q100" s="16" t="str">
        <x:v>Medium</x:v>
      </x:c>
      <x:c r="R100" s="16" t="str">
        <x:v>Story structure manual; perspective secondary but useful comparison</x:v>
      </x:c>
      <x:c r="S100" s="16" t="str">
        <x:v>Licensed/library copy likely needed; full-text availability not yet checked</x:v>
      </x:c>
      <x:c r="T100" s="16" t="str">
        <x:v>DNB/HeBIS/Frankfurt holdings not yet systematically checked</x:v>
      </x:c>
      <x:c r="U100" s="20" t="str"/>
      <x:c r="V100" s="20" t="str"/>
      <x:c r="W100" s="16" t="str">
        <x:v>Likely copyrighted; research TDM requires lawful access and applicable §60d UrhG conditions</x:v>
      </x:c>
      <x:c r="X100" s="16" t="str">
        <x:v>https://www.ebook.de/de/product/31386952/christopher_vogler_die_odyssee_der_drehbuchschreiber_romanautoren_und_dramatiker.html</x:v>
      </x:c>
      <x:c r="Y100" s="16" t="str"/>
      <x:c r="Z100" s="16" t="str">
        <x:v>https://portal.dnb.de/opac.htm?method=simpleSearch&amp;query=Die+Odyssee+der+Drehbuchschreiber%2C+Romanautoren+und+Dramatiker</x:v>
      </x:c>
      <x:c r="AA100" s="16" t="str">
        <x:v>Partial</x:v>
      </x:c>
      <x:c r="AB100" s="16" t="str">
        <x:v>Selected 2018 edition verified; earlier German translation history not yet checked.</x:v>
      </x:c>
      <x:c r="AC100" s="16" t="str">
        <x:f>IF(AA100&lt;&gt;"Verified","Verify metadata",IF(P100="Tier 1","Acquire/check full text",IF(P100="Tier 2","Check holdings / acquire if feasible","Review later")))</x:f>
        <x:v>Verify metadata</x:v>
      </x:c>
    </x:row>
    <x:row r="101">
      <x:c r="A101" s="16" t="str">
        <x:v>DE-050</x:v>
      </x:c>
      <x:c r="B101" s="16" t="str">
        <x:v>German</x:v>
      </x:c>
      <x:c r="C101" s="16" t="str">
        <x:v>Roy Peter Clark</x:v>
      </x:c>
      <x:c r="D101" s="16" t="str">
        <x:v>Die 50 Werkzeuge für gutes Schreiben</x:v>
      </x:c>
      <x:c r="E101" s="16" t="str">
        <x:v>Writing Tools: 50 Essential Strategies for Every Writer</x:v>
      </x:c>
      <x:c r="F101" s="18"/>
      <x:c r="G101" s="18" t="n">
        <x:v>2020</x:v>
      </x:c>
      <x:c r="H101" s="16" t="str">
        <x:v>10th German edition</x:v>
      </x:c>
      <x:c r="I101" s="16" t="str">
        <x:v>Autorenhaus Verlag</x:v>
      </x:c>
      <x:c r="J101" s="20" t="str">
        <x:v>9783866710313</x:v>
      </x:c>
      <x:c r="K101" s="20" t="str">
        <x:v>3866710313</x:v>
      </x:c>
      <x:c r="L101" s="16" t="str">
        <x:v>English</x:v>
      </x:c>
      <x:c r="M101" s="16" t="str">
        <x:v>Translation</x:v>
      </x:c>
      <x:c r="N101" s="16" t="str">
        <x:v>Kerstin Winter</x:v>
      </x:c>
      <x:c r="O101" s="16" t="str">
        <x:v>General writing craft</x:v>
      </x:c>
      <x:c r="P101" s="16" t="str">
        <x:v>Tier 2</x:v>
      </x:c>
      <x:c r="Q101" s="16" t="str">
        <x:v>Medium</x:v>
      </x:c>
      <x:c r="R101" s="16" t="str">
        <x:v>General prose tools; useful comparison beyond fiction</x:v>
      </x:c>
      <x:c r="S101" s="16" t="str">
        <x:v>Licensed/library copy likely needed; full-text availability not yet checked</x:v>
      </x:c>
      <x:c r="T101" s="16" t="str">
        <x:v>DNB/HeBIS/Frankfurt holdings not yet systematically checked</x:v>
      </x:c>
      <x:c r="U101" s="20" t="str"/>
      <x:c r="V101" s="20" t="str"/>
      <x:c r="W101" s="16" t="str">
        <x:v>Likely copyrighted; research TDM requires lawful access and applicable §60d UrhG conditions</x:v>
      </x:c>
      <x:c r="X101" s="16" t="str">
        <x:v>https://autorenhaus.de/products/die-50-werkzeuge-fur-gutes-schreiben</x:v>
      </x:c>
      <x:c r="Y101" s="16" t="str"/>
      <x:c r="Z101" s="16" t="str">
        <x:v>https://portal.dnb.de/opac.htm?method=simpleSearch&amp;query=Die+50+Werkzeuge+f%C3%BCr+gutes+Schreiben</x:v>
      </x:c>
      <x:c r="AA101" s="16" t="str">
        <x:v>Partial</x:v>
      </x:c>
      <x:c r="AB101" s="16" t="str">
        <x:v>Selected 10th edition 2020 verified; German first-edition year not yet checked.</x:v>
      </x:c>
      <x:c r="AC101" s="16" t="str">
        <x:f>IF(AA101&lt;&gt;"Verified","Verify metadata",IF(P101="Tier 1","Acquire/check full text",IF(P101="Tier 2","Check holdings / acquire if feasible","Review later")))</x:f>
        <x:v>Verify metadata</x:v>
      </x:c>
    </x:row>
  </x:sheetData>
  <x:conditionalFormatting sqref="Q2:Q101">
    <x:cfRule type="expression" dxfId="0" priority="1">
      <x:formula>Q2="High"</x:formula>
    </x:cfRule>
    <x:cfRule type="expression" dxfId="1" priority="2">
      <x:formula>Q2="Medium"</x:formula>
    </x:cfRule>
    <x:cfRule type="expression" dxfId="2" priority="3">
      <x:formula>Q2="Low"</x:formula>
    </x:cfRule>
  </x:conditionalFormatting>
  <x:conditionalFormatting sqref="P2:P101">
    <x:cfRule type="expression" dxfId="3" priority="4">
      <x:formula>P2="Tier 1"</x:formula>
    </x:cfRule>
  </x:conditionalFormatting>
  <x:conditionalFormatting sqref="AA2:AA101">
    <x:cfRule type="expression" dxfId="4" priority="5">
      <x:formula>AA2="Partial"</x:formula>
    </x:cfRule>
    <x:cfRule type="expression" dxfId="5" priority="6">
      <x:formula>AA2="Needs check"</x:formula>
    </x:cfRule>
  </x:conditionalFormatting>
  <x:dataValidations count="5">
    <x:dataValidation type="list" sqref="B2:B101">
      <x:formula1>"English,German"</x:formula1>
    </x:dataValidation>
    <x:dataValidation type="list" sqref="M2:M101">
      <x:formula1>"Original,Translation"</x:formula1>
    </x:dataValidation>
    <x:dataValidation type="list" sqref="P2:P101">
      <x:formula1>"Tier 1,Tier 2,Tier 3"</x:formula1>
    </x:dataValidation>
    <x:dataValidation type="list" sqref="Q2:Q101">
      <x:formula1>"High,Medium,Low"</x:formula1>
    </x:dataValidation>
    <x:dataValidation type="list" sqref="AA2:AA101">
      <x:formula1>"Verified,Partial,Needs 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10012147694e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39" t="str">
        <x:v>Creative-Writing Corpus — Seed Bibliography Dashboard</x:v>
      </x:c>
      <x:c r="B1" s="39"/>
      <x:c r="C1" s="39"/>
      <x:c r="D1" s="39"/>
      <x:c r="E1" s="39"/>
      <x:c r="F1" s="39"/>
      <x:c r="G1" s="39"/>
      <x:c r="H1" s="39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2" t="str">
        <x:v>Metric</x:v>
      </x:c>
      <x:c r="B3" s="12" t="str">
        <x:v>Value</x:v>
      </x:c>
      <x:c r="C3" s="13"/>
      <x:c r="D3" s="12" t="str">
        <x:v>Language</x:v>
      </x:c>
      <x:c r="E3" s="12" t="str">
        <x:v>High</x:v>
      </x:c>
      <x:c r="F3" s="12" t="str">
        <x:v>Medium</x:v>
      </x:c>
      <x:c r="G3" s="12" t="str">
        <x:v>Low</x:v>
      </x:c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40" t="str">
        <x:v>Total titles</x:v>
      </x:c>
      <x:c r="B4" s="13" t="n">
        <x:f>COUNTA(Corpus_100!A2:A101)</x:f>
        <x:v>100</x:v>
      </x:c>
      <x:c r="C4" s="13"/>
      <x:c r="D4" s="13" t="str">
        <x:v>English</x:v>
      </x:c>
      <x:c r="E4" s="13" t="n">
        <x:f>COUNTIFS(Corpus_100!B2:B101,"English",Corpus_100!Q2:Q101,"High")</x:f>
        <x:v>19</x:v>
      </x:c>
      <x:c r="F4" s="13" t="n">
        <x:f>COUNTIFS(Corpus_100!B2:B101,"English",Corpus_100!Q2:Q101,"Medium")</x:f>
        <x:v>25</x:v>
      </x:c>
      <x:c r="G4" s="13" t="n">
        <x:f>COUNTIFS(Corpus_100!B2:B101,"English",Corpus_100!Q2:Q101,"Low")</x:f>
        <x:v>6</x:v>
      </x:c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40" t="str">
        <x:v>English titles</x:v>
      </x:c>
      <x:c r="B5" s="13" t="n">
        <x:f>COUNTIF(Corpus_100!B2:B101,"English")</x:f>
        <x:v>50</x:v>
      </x:c>
      <x:c r="C5" s="13"/>
      <x:c r="D5" s="13" t="str">
        <x:v>German</x:v>
      </x:c>
      <x:c r="E5" s="13" t="n">
        <x:f>COUNTIFS(Corpus_100!B2:B101,"German",Corpus_100!Q2:Q101,"High")</x:f>
        <x:v>16</x:v>
      </x:c>
      <x:c r="F5" s="13" t="n">
        <x:f>COUNTIFS(Corpus_100!B2:B101,"German",Corpus_100!Q2:Q101,"Medium")</x:f>
        <x:v>21</x:v>
      </x:c>
      <x:c r="G5" s="13" t="n">
        <x:f>COUNTIFS(Corpus_100!B2:B101,"German",Corpus_100!Q2:Q101,"Low")</x:f>
        <x:v>13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40" t="str">
        <x:v>German titles</x:v>
      </x:c>
      <x:c r="B6" s="13" t="n">
        <x:f>COUNTIF(Corpus_100!B2:B101,"German")</x:f>
        <x:v>50</x:v>
      </x:c>
      <x:c r="C6" s="13"/>
      <x:c r="D6" s="13" t="str">
        <x:v>Total</x:v>
      </x:c>
      <x:c r="E6" s="13" t="n">
        <x:f>SUM(E4:E5)</x:f>
        <x:v>35</x:v>
      </x:c>
      <x:c r="F6" s="13" t="n">
        <x:f>SUM(F4:F5)</x:f>
        <x:v>46</x:v>
      </x:c>
      <x:c r="G6" s="13" t="n">
        <x:f>SUM(G4:G5)</x:f>
        <x:v>19</x:v>
      </x:c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40" t="str">
        <x:v>High POV relevance</x:v>
      </x:c>
      <x:c r="B7" s="13" t="n">
        <x:f>COUNTIF(Corpus_100!Q2:Q101,"High")</x:f>
        <x:v>35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40" t="str">
        <x:v>Tier 1 acquisition</x:v>
      </x:c>
      <x:c r="B8" s="13" t="n">
        <x:f>COUNTIF(Corpus_100!P2:P101,"Tier 1")</x:f>
        <x:v>35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40" t="str">
        <x:v>Translated German titles</x:v>
      </x:c>
      <x:c r="B9" s="13" t="n">
        <x:f>COUNTIFS(Corpus_100!B2:B101,"German",Corpus_100!M2:M101,"Translation")</x:f>
        <x:v>20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40" t="str">
        <x:v>Rows fully verified</x:v>
      </x:c>
      <x:c r="B10" s="13" t="n">
        <x:f>COUNTIF(Corpus_100!AA2:AA101,"Verified")</x:f>
        <x:v>69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2" t="str">
        <x:v>Interpretation key</x:v>
      </x:c>
      <x:c r="B13" s="12" t="str">
        <x:v>Meaning</x:v>
      </x:c>
      <x:c r="C13" s="13" t="str"/>
      <x:c r="D13" s="13" t="str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6" t="str">
        <x:v>Tier 1</x:v>
      </x:c>
      <x:c r="B14" s="16" t="str">
        <x:v>Acquire first; strongest POV/perspective value</x:v>
      </x:c>
      <x:c r="C14" s="13" t="str"/>
      <x:c r="D14" s="13" t="str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6" t="str">
        <x:v>Tier 2</x:v>
      </x:c>
      <x:c r="B15" s="16" t="str">
        <x:v>Useful contextual/craft comparison</x:v>
      </x:c>
      <x:c r="C15" s="13" t="str"/>
      <x:c r="D15" s="13" t="str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6" t="str">
        <x:v>Tier 3</x:v>
      </x:c>
      <x:c r="B16" s="16" t="str">
        <x:v>Control or broader writing-discourse material</x:v>
      </x:c>
      <x:c r="C16" s="13" t="str"/>
      <x:c r="D16" s="13" t="str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6" t="str">
        <x:v>Partial</x:v>
      </x:c>
      <x:c r="B17" s="16" t="str">
        <x:v>At least one bibliographic field needs a second-source authority check</x:v>
      </x:c>
      <x:c r="C17" s="13" t="str"/>
      <x:c r="D17" s="13" t="str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ac3a575df3842d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8" hidden="0" customWidth="1"/>
  </x:cols>
  <x:sheetData>
    <x:row r="1">
      <x:c r="A1" s="43" t="str">
        <x:v>Corpus fields, verification rules, and acquisition notes</x:v>
      </x:c>
      <x:c r="B1" s="43"/>
      <x:c r="C1" s="43"/>
      <x:c r="D1" s="44"/>
      <x:c r="E1" s="44"/>
      <x:c r="F1" s="44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6"/>
      <x:c r="B2" s="16"/>
      <x:c r="C2" s="16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2" t="str">
        <x:v>Field</x:v>
      </x:c>
      <x:c r="B3" s="12" t="str">
        <x:v>Meaning</x:v>
      </x:c>
      <x:c r="C3" s="12" t="str">
        <x:v>How to use it</x:v>
      </x:c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6" t="str">
        <x:v>Corpus_ID</x:v>
      </x:c>
      <x:c r="B4" s="16" t="str">
        <x:v>Stable seed-corpus identifier</x:v>
      </x:c>
      <x:c r="C4" s="16" t="str">
        <x:v>Keep stable even if metadata is corrected later.</x:v>
      </x:c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6" t="str">
        <x:v>Corpus_language</x:v>
      </x:c>
      <x:c r="B5" s="16" t="str">
        <x:v>Language of the edition to be analyzed</x:v>
      </x:c>
      <x:c r="C5" s="16" t="str">
        <x:v>Use for EN–DE comparisons.</x:v>
      </x:c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6" t="str">
        <x:v>Author_editor</x:v>
      </x:c>
      <x:c r="B6" s="16" t="str">
        <x:v>Author(s) or editor(s)</x:v>
      </x:c>
      <x:c r="C6" s="16" t="str">
        <x:v>Preserve editors because edited craft collections behave differently.</x:v>
      </x:c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6" t="str">
        <x:v>Title</x:v>
      </x:c>
      <x:c r="B7" s="16" t="str">
        <x:v>Title of selected corpus-language work/edition</x:v>
      </x:c>
      <x:c r="C7" s="16" t="str">
        <x:v>Primary matching field for library searches.</x:v>
      </x:c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6" t="str">
        <x:v>Original_title</x:v>
      </x:c>
      <x:c r="B8" s="16" t="str">
        <x:v>Original title for translations</x:v>
      </x:c>
      <x:c r="C8" s="16" t="str">
        <x:v>Needed to detect translated Anglophone craft discourse.</x:v>
      </x:c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6" t="str">
        <x:v>First_year_corpus_language</x:v>
      </x:c>
      <x:c r="B9" s="16" t="str">
        <x:v>Earliest located publication year in the corpus language</x:v>
      </x:c>
      <x:c r="C9" s="16" t="str">
        <x:v>Do not confuse with the selected edition year.</x:v>
      </x:c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6" t="str">
        <x:v>Selected_edition_year</x:v>
      </x:c>
      <x:c r="B10" s="16" t="str">
        <x:v>Year attached to the ISBN selected for acquisition</x:v>
      </x:c>
      <x:c r="C10" s="16" t="str">
        <x:v>Use this with ISBN when ordering or matching scans.</x:v>
      </x:c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6" t="str">
        <x:v>Edition_note</x:v>
      </x:c>
      <x:c r="B11" s="16" t="str">
        <x:v>Edition information</x:v>
      </x:c>
      <x:c r="C11" s="16" t="str">
        <x:v>Important because craft textbooks are often substantially revised.</x:v>
      </x:c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6" t="str">
        <x:v>ISBN_13 / ISBN_10</x:v>
      </x:c>
      <x:c r="B12" s="16" t="str">
        <x:v>Edition-level identifiers</x:v>
      </x:c>
      <x:c r="C12" s="16" t="str">
        <x:v>Primary keys for acquisition; do not use as work-level identifiers.</x:v>
      </x:c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6" t="str">
        <x:v>Original_language</x:v>
      </x:c>
      <x:c r="B13" s="16" t="str">
        <x:v>Language in which the work originated</x:v>
      </x:c>
      <x:c r="C13" s="16" t="str">
        <x:v>Separates original German discourse from imported/translated discourse.</x:v>
      </x:c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6" t="str">
        <x:v>Translation_status</x:v>
      </x:c>
      <x:c r="B14" s="16" t="str">
        <x:v>Original vs translation</x:v>
      </x:c>
      <x:c r="C14" s="16" t="str">
        <x:v>Use as a covariate in German-corpus analysis.</x:v>
      </x:c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6" t="str">
        <x:v>Book_type</x:v>
      </x:c>
      <x:c r="B15" s="16" t="str">
        <x:v>Operational genre within the writing-manual corpus</x:v>
      </x:c>
      <x:c r="C15" s="16" t="str">
        <x:v>Useful for stratified sampling and robustness checks.</x:v>
      </x:c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6" t="str">
        <x:v>Priority</x:v>
      </x:c>
      <x:c r="B16" s="16" t="str">
        <x:v>Acquisition priority</x:v>
      </x:c>
      <x:c r="C16" s="16" t="str">
        <x:v>Tier 1 first, then Tier 2, Tier 3.</x:v>
      </x:c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6" t="str">
        <x:v>POV_relevance</x:v>
      </x:c>
      <x:c r="B17" s="16" t="str">
        <x:v>Expected relevance before full-text analysis</x:v>
      </x:c>
      <x:c r="C17" s="16" t="str">
        <x:v>This is a seed label, not a research result.</x:v>
      </x:c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6" t="str">
        <x:v>POV_notes</x:v>
      </x:c>
      <x:c r="B18" s="16" t="str">
        <x:v>Why a title is expected to be useful</x:v>
      </x:c>
      <x:c r="C18" s="16" t="str">
        <x:v>Use to design positive/negative pilot samples.</x:v>
      </x:c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6" t="str">
        <x:v>Full_text_status</x:v>
      </x:c>
      <x:c r="B19" s="16" t="str">
        <x:v>Preliminary acquisition assessment</x:v>
      </x:c>
      <x:c r="C19" s="16" t="str">
        <x:v>Must be replaced with verified access status during acquisition.</x:v>
      </x:c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6" t="str">
        <x:v>Frankfurt_DNB_status</x:v>
      </x:c>
      <x:c r="B20" s="16" t="str">
        <x:v>Holdings/access follow-up</x:v>
      </x:c>
      <x:c r="C20" s="16" t="str">
        <x:v>Use HeBIS/Goethe UB and DNB/DNBLab for systematic checking.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6" t="str">
        <x:v>DNB_ID / OCLC_ID</x:v>
      </x:c>
      <x:c r="B21" s="16" t="str">
        <x:v>Authority/catalog identifiers where already known</x:v>
      </x:c>
      <x:c r="C21" s="16" t="str">
        <x:v>Blank means not yet enriched, not absent.</x:v>
      </x:c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6" t="str">
        <x:v>Rights_TDM_preliminary</x:v>
      </x:c>
      <x:c r="B22" s="16" t="str">
        <x:v>Conservative rights note</x:v>
      </x:c>
      <x:c r="C22" s="16" t="str">
        <x:v>Not legal advice; verify rights and lawful-access conditions per edition.</x:v>
      </x:c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6" t="str">
        <x:v>Bibliographic_source_URL</x:v>
      </x:c>
      <x:c r="B23" s="16" t="str">
        <x:v>Source used for current row metadata</x:v>
      </x:c>
      <x:c r="C23" s="16" t="str">
        <x:v>Retain provenance when editing.</x:v>
      </x:c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6" t="str">
        <x:v>Access_source_URL</x:v>
      </x:c>
      <x:c r="B24" s="16" t="str">
        <x:v>Known catalogue/full-text/access lead</x:v>
      </x:c>
      <x:c r="C24" s="16" t="str">
        <x:v>May be blank until acquisition stage.</x:v>
      </x:c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6" t="str">
        <x:v>DNB_search_URL</x:v>
      </x:c>
      <x:c r="B25" s="16" t="str">
        <x:v>Pre-built title search</x:v>
      </x:c>
      <x:c r="C25" s="16" t="str">
        <x:v>Use for rapid DNB enrichment.</x:v>
      </x:c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6" t="str">
        <x:v>Verification_status</x:v>
      </x:c>
      <x:c r="B26" s="16" t="str">
        <x:v>Verified / Partial / Needs check</x:v>
      </x:c>
      <x:c r="C26" s="16" t="str">
        <x:v>Partial means the row is usable as a lead but requires authority confirmation.</x:v>
      </x:c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6" t="str">
        <x:v>Next_action</x:v>
      </x:c>
      <x:c r="B27" s="16" t="str">
        <x:v>Formula-driven workflow instruction</x:v>
      </x:c>
      <x:c r="C27" s="16" t="str">
        <x:v>Keeps bibliography operational as a corpus-building tracker.</x:v>
      </x:c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6" t="str"/>
      <x:c r="B28" s="16" t="str"/>
      <x:c r="C28" s="16" t="str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6" t="str">
        <x:v>General corpus rule</x:v>
      </x:c>
      <x:c r="B29" s="16" t="str">
        <x:v>A row represents a selected edition; conceptual analyses should deduplicate at work level when appropriate.</x:v>
      </x:c>
      <x:c r="C29" s="16" t="str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6" t="str">
        <x:v>Translation rule</x:v>
      </x:c>
      <x:c r="B30" s="16" t="str">
        <x:v>Do not compare all German-language books with all English books as if translations were independent German-origin discourse.</x:v>
      </x:c>
      <x:c r="C30" s="16" t="str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6" t="str">
        <x:v>Rights rule</x:v>
      </x:c>
      <x:c r="B31" s="16" t="str">
        <x:v>For copyrighted texts, research TDM in Germany depends on lawful access and the applicable statutory/institutional conditions.</x:v>
      </x:c>
      <x:c r="C31" s="16" t="str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 t="str">
        <x:v>TDM legal reference</x:v>
      </x:c>
      <x:c r="B32" s="13" t="str">
        <x:v>§60d UrhG</x:v>
      </x:c>
      <x:c r="C32" s="13" t="str">
        <x:v>https://www.gesetze-im-internet.de/urhg/__60d.html</x:v>
      </x:c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 t="str">
        <x:v>DNB research access</x:v>
      </x:c>
      <x:c r="B33" s="13" t="str">
        <x:v>DNBLab / research services</x:v>
      </x:c>
      <x:c r="C33" s="13" t="str">
        <x:v>https://www.dnb.de/dnblab</x:v>
      </x:c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</x:sheetData>
  <x:mergeCells>
    <x:mergeCell ref="A1:F1"/>
  </x:mergeCells>
  <x:pageMargins left="0.7" right="0.7" top="0.75" bottom="0.75" header="0.3" footer="0.3"/>
</x:worksheet>
</file>